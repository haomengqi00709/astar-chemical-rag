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Load-Calc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Ref-Tab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color rgb="00808080"/>
      <sz val="8"/>
    </font>
    <font>
      <name val="Calibri"/>
      <b val="1"/>
      <color rgb="00FFFFFF"/>
      <sz val="10"/>
    </font>
    <font>
      <name val="Calibri"/>
      <color rgb="00006100"/>
      <sz val="8"/>
    </font>
    <font>
      <name val="Calibri"/>
      <b val="1"/>
      <color rgb="00000000"/>
      <sz val="10"/>
    </font>
    <font>
      <name val="Calibri"/>
      <color rgb="000000FF"/>
      <sz val="10"/>
    </font>
    <font>
      <name val="Calibri"/>
      <color rgb="00808080"/>
      <sz val="9"/>
    </font>
    <font>
      <name val="Calibri"/>
      <color rgb="00FFFFFF"/>
      <sz val="8"/>
    </font>
    <font>
      <name val="Calibri"/>
      <color rgb="00000000"/>
      <sz val="10"/>
    </font>
    <font>
      <name val="Calibri"/>
      <b val="1"/>
      <color rgb="00FFFFFF"/>
      <sz val="14"/>
    </font>
    <font>
      <name val="Calibri"/>
      <color rgb="00595959"/>
      <sz val="9"/>
    </font>
    <font>
      <name val="Calibri"/>
      <b val="1"/>
      <color rgb="00FFFFFF"/>
      <sz val="11"/>
    </font>
    <font>
      <name val="Calibri"/>
      <color rgb="00C00000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0" fillId="2" borderId="0" pivotButton="0" quotePrefix="0" xfId="0"/>
    <xf numFmtId="0" fontId="0" fillId="2" borderId="0" pivotButton="0" quotePrefix="0" xfId="0"/>
    <xf numFmtId="0" fontId="11" fillId="0" borderId="0" pivotButton="0" quotePrefix="0" xfId="0"/>
    <xf numFmtId="0" fontId="12" fillId="3" borderId="0" pivotButton="0" quotePrefix="0" xfId="0"/>
    <xf numFmtId="0" fontId="0" fillId="3" borderId="0" pivotButton="0" quotePrefix="0" xfId="0"/>
    <xf numFmtId="0" fontId="5" fillId="5" borderId="1" pivotButton="0" quotePrefix="0" xfId="0"/>
    <xf numFmtId="0" fontId="0" fillId="0" borderId="1" applyAlignment="1" pivotButton="0" quotePrefix="0" xfId="0">
      <alignment horizontal="left" vertical="center" wrapText="1"/>
    </xf>
    <xf numFmtId="0" fontId="0" fillId="4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1" fillId="2" borderId="0" pivotButton="0" quotePrefix="0" xfId="0"/>
    <xf numFmtId="0" fontId="8" fillId="2" borderId="0" applyAlignment="1" pivotButton="0" quotePrefix="0" xfId="0">
      <alignment horizontal="right" vertical="center"/>
    </xf>
    <xf numFmtId="0" fontId="5" fillId="5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left" vertical="center"/>
    </xf>
    <xf numFmtId="0" fontId="9" fillId="4" borderId="1" applyAlignment="1" pivotButton="0" quotePrefix="0" xfId="0">
      <alignment horizontal="right" vertical="center"/>
    </xf>
    <xf numFmtId="0" fontId="9" fillId="6" borderId="1" applyAlignment="1" pivotButton="0" quotePrefix="0" xfId="0">
      <alignment horizontal="right" vertical="center"/>
    </xf>
    <xf numFmtId="0" fontId="9" fillId="7" borderId="1" applyAlignment="1" pivotButton="0" quotePrefix="0" xfId="0">
      <alignment horizontal="right" vertical="center"/>
    </xf>
    <xf numFmtId="0" fontId="0" fillId="7" borderId="1" applyAlignment="1" pivotButton="0" quotePrefix="0" xfId="0">
      <alignment horizontal="right" vertical="center"/>
    </xf>
    <xf numFmtId="0" fontId="7" fillId="0" borderId="0" pivotButton="0" quotePrefix="0" xfId="0"/>
    <xf numFmtId="0" fontId="13" fillId="0" borderId="0" applyAlignment="1" pivotButton="0" quotePrefix="0" xfId="0">
      <alignment horizontal="left" vertical="center" wrapText="1"/>
    </xf>
    <xf numFmtId="0" fontId="2" fillId="0" borderId="0" pivotButton="0" quotePrefix="0" xfId="0"/>
    <xf numFmtId="0" fontId="3" fillId="3" borderId="0" pivotButton="0" quotePrefix="0" xfId="0"/>
    <xf numFmtId="0" fontId="4" fillId="3" borderId="0" applyAlignment="1" pivotButton="0" quotePrefix="0" xfId="0">
      <alignment horizontal="right" vertical="center"/>
    </xf>
    <xf numFmtId="0" fontId="5" fillId="0" borderId="0" pivotButton="0" quotePrefix="0" xfId="0"/>
    <xf numFmtId="0" fontId="6" fillId="4" borderId="1" applyAlignment="1" pivotButton="0" quotePrefix="0" xfId="0">
      <alignment horizontal="right" vertical="center"/>
    </xf>
    <xf numFmtId="0" fontId="0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30" customWidth="1" min="1" max="1"/>
    <col width="88" customWidth="1" min="2" max="2"/>
  </cols>
  <sheetData>
    <row r="1" ht="26" customHeight="1">
      <c r="A1" s="1" t="inlineStr">
        <is>
          <t>Electrical Load Calculation — Reusable Template</t>
        </is>
      </c>
      <c r="B1" s="2" t="n"/>
    </row>
    <row r="2">
      <c r="A2" s="3" t="inlineStr">
        <is>
          <t>Engine-driven · real project data · live Excel formulas · fully auditable · reusable across projects</t>
        </is>
      </c>
    </row>
    <row r="4" ht="18" customHeight="1">
      <c r="A4" s="4" t="inlineStr">
        <is>
          <t>Project</t>
        </is>
      </c>
      <c r="B4" s="5" t="n"/>
    </row>
    <row r="5">
      <c r="A5" s="6" t="inlineStr">
        <is>
          <t>Project</t>
        </is>
      </c>
      <c r="B5" s="7" t="inlineStr">
        <is>
          <t>Y-Office Tower — Detailed Design</t>
        </is>
      </c>
    </row>
    <row r="6">
      <c r="A6" s="6" t="inlineStr">
        <is>
          <t>Board</t>
        </is>
      </c>
      <c r="B6" s="7" t="inlineStr">
        <is>
          <t>MDB-OFFICES</t>
        </is>
      </c>
    </row>
    <row r="7">
      <c r="A7" s="6" t="inlineStr">
        <is>
          <t>Offices</t>
        </is>
      </c>
      <c r="B7" s="7" t="n">
        <v>54</v>
      </c>
    </row>
    <row r="8">
      <c r="A8" s="6" t="inlineStr">
        <is>
          <t>Generated</t>
        </is>
      </c>
      <c r="B8" s="7" t="inlineStr">
        <is>
          <t>2026-07-08T01:30:05</t>
        </is>
      </c>
    </row>
    <row r="10" ht="18" customHeight="1">
      <c r="A10" s="4" t="inlineStr">
        <is>
          <t>Method — DPS 2022 power-density</t>
        </is>
      </c>
      <c r="B10" s="5" t="n"/>
    </row>
    <row r="11">
      <c r="A11" s="6" t="inlineStr">
        <is>
          <t>Connected load</t>
        </is>
      </c>
      <c r="B11" s="7" t="inlineStr">
        <is>
          <t>kVA = Area (m²) × Density (VA/m²) ÷ 1000</t>
        </is>
      </c>
    </row>
    <row r="12">
      <c r="A12" s="6" t="inlineStr">
        <is>
          <t>Double-height add'l</t>
        </is>
      </c>
      <c r="B12" s="7" t="inlineStr">
        <is>
          <t>kVA = (Height − 3.5) × Area × 24 ÷ 1000</t>
        </is>
      </c>
    </row>
    <row r="13">
      <c r="A13" s="6" t="inlineStr">
        <is>
          <t>Demand</t>
        </is>
      </c>
      <c r="B13" s="7" t="inlineStr">
        <is>
          <t>kVA = (Connected + Add'l) × Demand factor</t>
        </is>
      </c>
    </row>
    <row r="14">
      <c r="A14" s="6" t="inlineStr">
        <is>
          <t>Load-table current</t>
        </is>
      </c>
      <c r="B14" s="7" t="inlineStr">
        <is>
          <t>A = Demand × 1000 ÷ 690  →  main breaker = next standard size ≥ current</t>
        </is>
      </c>
    </row>
    <row r="15">
      <c r="A15" s="6" t="inlineStr">
        <is>
          <t>Cable current</t>
        </is>
      </c>
      <c r="B15" s="7" t="inlineStr">
        <is>
          <t>A = Demand × 1000 ÷ (√3 × 400)</t>
        </is>
      </c>
    </row>
    <row r="16">
      <c r="A16" s="6" t="inlineStr">
        <is>
          <t>Cable size</t>
        </is>
      </c>
      <c r="B16" s="7" t="inlineStr">
        <is>
          <t>smallest CSA with derated ampacity ≥ current AND VD ≤ 4%</t>
        </is>
      </c>
    </row>
    <row r="17">
      <c r="A17" s="6" t="inlineStr">
        <is>
          <t>Voltage drop</t>
        </is>
      </c>
      <c r="B17" s="7" t="inlineStr">
        <is>
          <t>VD% = Cable current × Length × (mv/a/m) ÷ 1000 ÷ 400 × 100</t>
        </is>
      </c>
    </row>
    <row r="19" ht="18" customHeight="1">
      <c r="A19" s="4" t="inlineStr">
        <is>
          <t>How to use</t>
        </is>
      </c>
      <c r="B19" s="5" t="n"/>
    </row>
    <row r="20">
      <c r="A20" s="6" t="inlineStr">
        <is>
          <t>It is live</t>
        </is>
      </c>
      <c r="B20" s="7" t="inlineStr">
        <is>
          <t>Change any blue input cell on Load-Calc (e.g. an office area) — every yellow formula recomputes automatically.</t>
        </is>
      </c>
    </row>
    <row r="21">
      <c r="A21" s="6" t="inlineStr">
        <is>
          <t>It is auditable</t>
        </is>
      </c>
      <c r="B21" s="7" t="inlineStr">
        <is>
          <t>All standard values (density, demand factor, breaker ladder, cable table) live on the Ref-Tables sheet, each with its source. Formulas reference those cells — edit a reference and the whole calc re-flows.</t>
        </is>
      </c>
    </row>
    <row r="22">
      <c r="A22" s="6" t="inlineStr">
        <is>
          <t>It is reusable</t>
        </is>
      </c>
      <c r="B22" s="7" t="inlineStr">
        <is>
          <t>The workbook is generated from the engine per project — feed a new project's data and you get the same structured workbook.</t>
        </is>
      </c>
    </row>
    <row r="24" ht="18" customHeight="1">
      <c r="A24" s="4" t="inlineStr">
        <is>
          <t>Legend</t>
        </is>
      </c>
      <c r="B24" s="5" t="n"/>
    </row>
    <row r="25">
      <c r="A25" s="8" t="inlineStr"/>
      <c r="B25" t="inlineStr">
        <is>
          <t>Input (extracted / entered)</t>
        </is>
      </c>
    </row>
    <row r="26">
      <c r="A26" s="9" t="inlineStr"/>
      <c r="B26" t="inlineStr">
        <is>
          <t>Calculated (live formula)</t>
        </is>
      </c>
    </row>
    <row r="27">
      <c r="A27" s="10" t="inlineStr"/>
      <c r="B27" t="inlineStr">
        <is>
          <t>Selected output (breaker / cable)</t>
        </is>
      </c>
    </row>
  </sheetData>
  <mergeCells count="6">
    <mergeCell ref="A4:B4"/>
    <mergeCell ref="A24:B24"/>
    <mergeCell ref="A2:B2"/>
    <mergeCell ref="A19:B19"/>
    <mergeCell ref="A10:B10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8" customWidth="1" min="2" max="2"/>
    <col width="8" customWidth="1" min="3" max="3"/>
    <col width="5" customWidth="1" min="4" max="4"/>
    <col width="9" customWidth="1" min="5" max="5"/>
    <col width="11" customWidth="1" min="6" max="6"/>
    <col width="8" customWidth="1" min="7" max="7"/>
    <col width="9" customWidth="1" min="8" max="8"/>
    <col width="5" customWidth="1" min="9" max="9"/>
    <col width="10" customWidth="1" min="10" max="10"/>
    <col width="10" customWidth="1" min="11" max="11"/>
    <col width="9" customWidth="1" min="12" max="12"/>
    <col width="9" customWidth="1" min="13" max="13"/>
    <col width="8" customWidth="1" min="14" max="14"/>
    <col width="8" customWidth="1" min="15" max="15"/>
    <col width="8" customWidth="1" min="16" max="16"/>
    <col width="7" customWidth="1" min="17" max="17"/>
  </cols>
  <sheetData>
    <row r="1" ht="20" customHeight="1">
      <c r="A1" s="11" t="inlineStr">
        <is>
          <t>Electrical Load Schedule — MDB-OFFICES (DPS 2022 density method)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12" t="inlineStr">
        <is>
          <t>live formulas →</t>
        </is>
      </c>
      <c r="Q1" s="2" t="n"/>
    </row>
    <row r="3" ht="30" customHeight="1">
      <c r="A3" s="13" t="inlineStr">
        <is>
          <t>Office</t>
        </is>
      </c>
      <c r="B3" s="13" t="inlineStr">
        <is>
          <t>Area m²</t>
        </is>
      </c>
      <c r="C3" s="13" t="inlineStr">
        <is>
          <t>Height m</t>
        </is>
      </c>
      <c r="D3" s="13" t="inlineStr">
        <is>
          <t>Cat</t>
        </is>
      </c>
      <c r="E3" s="13" t="inlineStr">
        <is>
          <t>Density
VA/m²</t>
        </is>
      </c>
      <c r="F3" s="13" t="inlineStr">
        <is>
          <t>Connected
kVA</t>
        </is>
      </c>
      <c r="G3" s="13" t="inlineStr">
        <is>
          <t>Add'l
kVA</t>
        </is>
      </c>
      <c r="H3" s="13" t="inlineStr">
        <is>
          <t>Total
kVA</t>
        </is>
      </c>
      <c r="I3" s="13" t="inlineStr">
        <is>
          <t>DF</t>
        </is>
      </c>
      <c r="J3" s="13" t="inlineStr">
        <is>
          <t>Demand
kVA</t>
        </is>
      </c>
      <c r="K3" s="13" t="inlineStr">
        <is>
          <t>Current
A (÷690)</t>
        </is>
      </c>
      <c r="L3" s="13" t="inlineStr">
        <is>
          <t>Breaker
A</t>
        </is>
      </c>
      <c r="M3" s="13" t="inlineStr">
        <is>
          <t>Cable I
A</t>
        </is>
      </c>
      <c r="N3" s="13" t="inlineStr">
        <is>
          <t>Feeder
m</t>
        </is>
      </c>
      <c r="O3" s="13" t="inlineStr">
        <is>
          <t>Cable
mm²</t>
        </is>
      </c>
      <c r="P3" s="13" t="inlineStr">
        <is>
          <t>mv/a/m</t>
        </is>
      </c>
      <c r="Q3" s="13" t="inlineStr">
        <is>
          <t>VD %</t>
        </is>
      </c>
    </row>
    <row r="4">
      <c r="A4" s="14" t="inlineStr">
        <is>
          <t>Coffee shop</t>
        </is>
      </c>
      <c r="B4" s="15" t="n">
        <v>197.8</v>
      </c>
      <c r="C4" s="15" t="n">
        <v>7</v>
      </c>
      <c r="D4" s="15" t="inlineStr">
        <is>
          <t>C6</t>
        </is>
      </c>
      <c r="E4" s="16">
        <f>IFERROR(VLOOKUP(D4,'Ref-Tables'!$A$6:$B$7,2,FALSE),"?")</f>
        <v/>
      </c>
      <c r="F4" s="16">
        <f>B4*E4/1000</f>
        <v/>
      </c>
      <c r="G4" s="16">
        <f>IF(AND(C4&lt;&gt;"",C4&gt;'Ref-Tables'!$B$18),(C4-'Ref-Tables'!$B$18)*B4*'Ref-Tables'!$B$17/1000,0)</f>
        <v/>
      </c>
      <c r="H4" s="16">
        <f>F4+G4</f>
        <v/>
      </c>
      <c r="I4" s="16">
        <f>'Ref-Tables'!$B$10</f>
        <v/>
      </c>
      <c r="J4" s="16">
        <f>H4*I4</f>
        <v/>
      </c>
      <c r="K4" s="16">
        <f>J4*1000/'Ref-Tables'!$B$13</f>
        <v/>
      </c>
      <c r="L4" s="17">
        <f>IFERROR(INDEX('Ref-Tables'!$A$21:$A$35,MATCH(K4,'Ref-Tables'!$A$21:$A$35,1)+IF(INDEX('Ref-Tables'!$A$21:$A$35,MATCH(K4,'Ref-Tables'!$A$21:$A$35,1))=K4,0,1)),'Ref-Tables'!$A$21)</f>
        <v/>
      </c>
      <c r="M4" s="16">
        <f>J4*1000/(SQRT(3)*'Ref-Tables'!$B$14)</f>
        <v/>
      </c>
      <c r="N4" s="15" t="n">
        <v>55</v>
      </c>
      <c r="O4" s="17" t="n">
        <v>25</v>
      </c>
      <c r="P4" s="16">
        <f>IFERROR(VLOOKUP(O4,'Ref-Tables'!$A$39:$C$43,2,FALSE),"")</f>
        <v/>
      </c>
      <c r="Q4" s="16">
        <f>IFERROR(ROUND(M4*N4*P4/1000/'Ref-Tables'!$B$14*100,1),"")</f>
        <v/>
      </c>
    </row>
    <row r="5">
      <c r="A5" s="14" t="inlineStr">
        <is>
          <t>Office Double H(38)</t>
        </is>
      </c>
      <c r="B5" s="15" t="n">
        <v>208</v>
      </c>
      <c r="C5" s="15" t="n">
        <v>7</v>
      </c>
      <c r="D5" s="15" t="inlineStr">
        <is>
          <t>C7</t>
        </is>
      </c>
      <c r="E5" s="16">
        <f>IFERROR(VLOOKUP(D5,'Ref-Tables'!$A$6:$B$7,2,FALSE),"?")</f>
        <v/>
      </c>
      <c r="F5" s="16">
        <f>B5*E5/1000</f>
        <v/>
      </c>
      <c r="G5" s="16">
        <f>IF(AND(C5&lt;&gt;"",C5&gt;'Ref-Tables'!$B$18),(C5-'Ref-Tables'!$B$18)*B5*'Ref-Tables'!$B$17/1000,0)</f>
        <v/>
      </c>
      <c r="H5" s="16">
        <f>F5+G5</f>
        <v/>
      </c>
      <c r="I5" s="16">
        <f>'Ref-Tables'!$B$10</f>
        <v/>
      </c>
      <c r="J5" s="16">
        <f>H5*I5</f>
        <v/>
      </c>
      <c r="K5" s="16">
        <f>J5*1000/'Ref-Tables'!$B$13</f>
        <v/>
      </c>
      <c r="L5" s="17">
        <f>IFERROR(INDEX('Ref-Tables'!$A$21:$A$35,MATCH(K5,'Ref-Tables'!$A$21:$A$35,1)+IF(INDEX('Ref-Tables'!$A$21:$A$35,MATCH(K5,'Ref-Tables'!$A$21:$A$35,1))=K5,0,1)),'Ref-Tables'!$A$21)</f>
        <v/>
      </c>
      <c r="M5" s="16">
        <f>J5*1000/(SQRT(3)*'Ref-Tables'!$B$14)</f>
        <v/>
      </c>
      <c r="N5" s="15" t="n">
        <v>65</v>
      </c>
      <c r="O5" s="17" t="n">
        <v>25</v>
      </c>
      <c r="P5" s="16">
        <f>IFERROR(VLOOKUP(O5,'Ref-Tables'!$A$39:$C$43,2,FALSE),"")</f>
        <v/>
      </c>
      <c r="Q5" s="16">
        <f>IFERROR(ROUND(M5*N5*P5/1000/'Ref-Tables'!$B$14*100,1),"")</f>
        <v/>
      </c>
    </row>
    <row r="6">
      <c r="A6" s="14" t="inlineStr">
        <is>
          <t>Office Duplex(37,62)</t>
        </is>
      </c>
      <c r="B6" s="15" t="n">
        <v>169</v>
      </c>
      <c r="C6" s="15" t="n"/>
      <c r="D6" s="15" t="inlineStr">
        <is>
          <t>C7</t>
        </is>
      </c>
      <c r="E6" s="16">
        <f>IFERROR(VLOOKUP(D6,'Ref-Tables'!$A$6:$B$7,2,FALSE),"?")</f>
        <v/>
      </c>
      <c r="F6" s="16">
        <f>B6*E6/1000</f>
        <v/>
      </c>
      <c r="G6" s="16">
        <f>IF(AND(C6&lt;&gt;"",C6&gt;'Ref-Tables'!$B$18),(C6-'Ref-Tables'!$B$18)*B6*'Ref-Tables'!$B$17/1000,0)</f>
        <v/>
      </c>
      <c r="H6" s="16">
        <f>F6+G6</f>
        <v/>
      </c>
      <c r="I6" s="16">
        <f>'Ref-Tables'!$B$10</f>
        <v/>
      </c>
      <c r="J6" s="16">
        <f>H6*I6</f>
        <v/>
      </c>
      <c r="K6" s="16">
        <f>J6*1000/'Ref-Tables'!$B$13</f>
        <v/>
      </c>
      <c r="L6" s="17">
        <f>IFERROR(INDEX('Ref-Tables'!$A$21:$A$35,MATCH(K6,'Ref-Tables'!$A$21:$A$35,1)+IF(INDEX('Ref-Tables'!$A$21:$A$35,MATCH(K6,'Ref-Tables'!$A$21:$A$35,1))=K6,0,1)),'Ref-Tables'!$A$21)</f>
        <v/>
      </c>
      <c r="M6" s="16">
        <f>J6*1000/(SQRT(3)*'Ref-Tables'!$B$14)</f>
        <v/>
      </c>
      <c r="N6" s="15" t="n">
        <v>65</v>
      </c>
      <c r="O6" s="17" t="n">
        <v>10</v>
      </c>
      <c r="P6" s="16">
        <f>IFERROR(VLOOKUP(O6,'Ref-Tables'!$A$39:$C$43,2,FALSE),"")</f>
        <v/>
      </c>
      <c r="Q6" s="16">
        <f>IFERROR(ROUND(M6*N6*P6/1000/'Ref-Tables'!$B$14*100,1),"")</f>
        <v/>
      </c>
    </row>
    <row r="7">
      <c r="A7" s="14" t="inlineStr">
        <is>
          <t>Office Double H(34,65)</t>
        </is>
      </c>
      <c r="B7" s="15" t="n">
        <v>121</v>
      </c>
      <c r="C7" s="15" t="n">
        <v>7</v>
      </c>
      <c r="D7" s="15" t="inlineStr">
        <is>
          <t>C7</t>
        </is>
      </c>
      <c r="E7" s="16">
        <f>IFERROR(VLOOKUP(D7,'Ref-Tables'!$A$6:$B$7,2,FALSE),"?")</f>
        <v/>
      </c>
      <c r="F7" s="16">
        <f>B7*E7/1000</f>
        <v/>
      </c>
      <c r="G7" s="16">
        <f>IF(AND(C7&lt;&gt;"",C7&gt;'Ref-Tables'!$B$18),(C7-'Ref-Tables'!$B$18)*B7*'Ref-Tables'!$B$17/1000,0)</f>
        <v/>
      </c>
      <c r="H7" s="16">
        <f>F7+G7</f>
        <v/>
      </c>
      <c r="I7" s="16">
        <f>'Ref-Tables'!$B$10</f>
        <v/>
      </c>
      <c r="J7" s="16">
        <f>H7*I7</f>
        <v/>
      </c>
      <c r="K7" s="16">
        <f>J7*1000/'Ref-Tables'!$B$13</f>
        <v/>
      </c>
      <c r="L7" s="17">
        <f>IFERROR(INDEX('Ref-Tables'!$A$21:$A$35,MATCH(K7,'Ref-Tables'!$A$21:$A$35,1)+IF(INDEX('Ref-Tables'!$A$21:$A$35,MATCH(K7,'Ref-Tables'!$A$21:$A$35,1))=K7,0,1)),'Ref-Tables'!$A$21)</f>
        <v/>
      </c>
      <c r="M7" s="16">
        <f>J7*1000/(SQRT(3)*'Ref-Tables'!$B$14)</f>
        <v/>
      </c>
      <c r="N7" s="15" t="n">
        <v>80</v>
      </c>
      <c r="O7" s="17" t="n">
        <v>10</v>
      </c>
      <c r="P7" s="16">
        <f>IFERROR(VLOOKUP(O7,'Ref-Tables'!$A$39:$C$43,2,FALSE),"")</f>
        <v/>
      </c>
      <c r="Q7" s="16">
        <f>IFERROR(ROUND(M7*N7*P7/1000/'Ref-Tables'!$B$14*100,1),"")</f>
        <v/>
      </c>
    </row>
    <row r="8">
      <c r="A8" s="14" t="inlineStr">
        <is>
          <t>Office(39)</t>
        </is>
      </c>
      <c r="B8" s="15" t="n">
        <v>175</v>
      </c>
      <c r="C8" s="15" t="n"/>
      <c r="D8" s="15" t="inlineStr">
        <is>
          <t>C7</t>
        </is>
      </c>
      <c r="E8" s="16">
        <f>IFERROR(VLOOKUP(D8,'Ref-Tables'!$A$6:$B$7,2,FALSE),"?")</f>
        <v/>
      </c>
      <c r="F8" s="16">
        <f>B8*E8/1000</f>
        <v/>
      </c>
      <c r="G8" s="16">
        <f>IF(AND(C8&lt;&gt;"",C8&gt;'Ref-Tables'!$B$18),(C8-'Ref-Tables'!$B$18)*B8*'Ref-Tables'!$B$17/1000,0)</f>
        <v/>
      </c>
      <c r="H8" s="16">
        <f>F8+G8</f>
        <v/>
      </c>
      <c r="I8" s="16">
        <f>'Ref-Tables'!$B$10</f>
        <v/>
      </c>
      <c r="J8" s="16">
        <f>H8*I8</f>
        <v/>
      </c>
      <c r="K8" s="16">
        <f>J8*1000/'Ref-Tables'!$B$13</f>
        <v/>
      </c>
      <c r="L8" s="17">
        <f>IFERROR(INDEX('Ref-Tables'!$A$21:$A$35,MATCH(K8,'Ref-Tables'!$A$21:$A$35,1)+IF(INDEX('Ref-Tables'!$A$21:$A$35,MATCH(K8,'Ref-Tables'!$A$21:$A$35,1))=K8,0,1)),'Ref-Tables'!$A$21)</f>
        <v/>
      </c>
      <c r="M8" s="16">
        <f>J8*1000/(SQRT(3)*'Ref-Tables'!$B$14)</f>
        <v/>
      </c>
      <c r="N8" s="15" t="n">
        <v>80</v>
      </c>
      <c r="O8" s="17" t="n">
        <v>10</v>
      </c>
      <c r="P8" s="16">
        <f>IFERROR(VLOOKUP(O8,'Ref-Tables'!$A$39:$C$43,2,FALSE),"")</f>
        <v/>
      </c>
      <c r="Q8" s="16">
        <f>IFERROR(ROUND(M8*N8*P8/1000/'Ref-Tables'!$B$14*100,1),"")</f>
        <v/>
      </c>
    </row>
    <row r="9">
      <c r="A9" s="14" t="inlineStr">
        <is>
          <t>Office(54)</t>
        </is>
      </c>
      <c r="B9" s="15" t="n">
        <v>179</v>
      </c>
      <c r="C9" s="15" t="n"/>
      <c r="D9" s="15" t="inlineStr">
        <is>
          <t>C7</t>
        </is>
      </c>
      <c r="E9" s="16">
        <f>IFERROR(VLOOKUP(D9,'Ref-Tables'!$A$6:$B$7,2,FALSE),"?")</f>
        <v/>
      </c>
      <c r="F9" s="16">
        <f>B9*E9/1000</f>
        <v/>
      </c>
      <c r="G9" s="16">
        <f>IF(AND(C9&lt;&gt;"",C9&gt;'Ref-Tables'!$B$18),(C9-'Ref-Tables'!$B$18)*B9*'Ref-Tables'!$B$17/1000,0)</f>
        <v/>
      </c>
      <c r="H9" s="16">
        <f>F9+G9</f>
        <v/>
      </c>
      <c r="I9" s="16">
        <f>'Ref-Tables'!$B$10</f>
        <v/>
      </c>
      <c r="J9" s="16">
        <f>H9*I9</f>
        <v/>
      </c>
      <c r="K9" s="16">
        <f>J9*1000/'Ref-Tables'!$B$13</f>
        <v/>
      </c>
      <c r="L9" s="17">
        <f>IFERROR(INDEX('Ref-Tables'!$A$21:$A$35,MATCH(K9,'Ref-Tables'!$A$21:$A$35,1)+IF(INDEX('Ref-Tables'!$A$21:$A$35,MATCH(K9,'Ref-Tables'!$A$21:$A$35,1))=K9,0,1)),'Ref-Tables'!$A$21)</f>
        <v/>
      </c>
      <c r="M9" s="16">
        <f>J9*1000/(SQRT(3)*'Ref-Tables'!$B$14)</f>
        <v/>
      </c>
      <c r="N9" s="15" t="n">
        <v>85</v>
      </c>
      <c r="O9" s="17" t="n">
        <v>10</v>
      </c>
      <c r="P9" s="16">
        <f>IFERROR(VLOOKUP(O9,'Ref-Tables'!$A$39:$C$43,2,FALSE),"")</f>
        <v/>
      </c>
      <c r="Q9" s="16">
        <f>IFERROR(ROUND(M9*N9*P9/1000/'Ref-Tables'!$B$14*100,1),"")</f>
        <v/>
      </c>
    </row>
    <row r="10">
      <c r="A10" s="14" t="inlineStr">
        <is>
          <t>Office(84)</t>
        </is>
      </c>
      <c r="B10" s="15" t="n">
        <v>79</v>
      </c>
      <c r="C10" s="15" t="n"/>
      <c r="D10" s="15" t="inlineStr">
        <is>
          <t>C7</t>
        </is>
      </c>
      <c r="E10" s="16">
        <f>IFERROR(VLOOKUP(D10,'Ref-Tables'!$A$6:$B$7,2,FALSE),"?")</f>
        <v/>
      </c>
      <c r="F10" s="16">
        <f>B10*E10/1000</f>
        <v/>
      </c>
      <c r="G10" s="16">
        <f>IF(AND(C10&lt;&gt;"",C10&gt;'Ref-Tables'!$B$18),(C10-'Ref-Tables'!$B$18)*B10*'Ref-Tables'!$B$17/1000,0)</f>
        <v/>
      </c>
      <c r="H10" s="16">
        <f>F10+G10</f>
        <v/>
      </c>
      <c r="I10" s="16">
        <f>'Ref-Tables'!$B$10</f>
        <v/>
      </c>
      <c r="J10" s="16">
        <f>H10*I10</f>
        <v/>
      </c>
      <c r="K10" s="16">
        <f>J10*1000/'Ref-Tables'!$B$13</f>
        <v/>
      </c>
      <c r="L10" s="17">
        <f>IFERROR(INDEX('Ref-Tables'!$A$21:$A$35,MATCH(K10,'Ref-Tables'!$A$21:$A$35,1)+IF(INDEX('Ref-Tables'!$A$21:$A$35,MATCH(K10,'Ref-Tables'!$A$21:$A$35,1))=K10,0,1)),'Ref-Tables'!$A$21)</f>
        <v/>
      </c>
      <c r="M10" s="16">
        <f>J10*1000/(SQRT(3)*'Ref-Tables'!$B$14)</f>
        <v/>
      </c>
      <c r="N10" s="15" t="n">
        <v>90</v>
      </c>
      <c r="O10" s="17" t="n">
        <v>6</v>
      </c>
      <c r="P10" s="16">
        <f>IFERROR(VLOOKUP(O10,'Ref-Tables'!$A$39:$C$43,2,FALSE),"")</f>
        <v/>
      </c>
      <c r="Q10" s="16">
        <f>IFERROR(ROUND(M10*N10*P10/1000/'Ref-Tables'!$B$14*100,1),"")</f>
        <v/>
      </c>
    </row>
    <row r="11">
      <c r="A11" s="14" t="inlineStr">
        <is>
          <t>Office Duplex(79,112)</t>
        </is>
      </c>
      <c r="B11" s="15" t="n">
        <v>245</v>
      </c>
      <c r="C11" s="15" t="n"/>
      <c r="D11" s="15" t="inlineStr">
        <is>
          <t>C7</t>
        </is>
      </c>
      <c r="E11" s="16">
        <f>IFERROR(VLOOKUP(D11,'Ref-Tables'!$A$6:$B$7,2,FALSE),"?")</f>
        <v/>
      </c>
      <c r="F11" s="16">
        <f>B11*E11/1000</f>
        <v/>
      </c>
      <c r="G11" s="16">
        <f>IF(AND(C11&lt;&gt;"",C11&gt;'Ref-Tables'!$B$18),(C11-'Ref-Tables'!$B$18)*B11*'Ref-Tables'!$B$17/1000,0)</f>
        <v/>
      </c>
      <c r="H11" s="16">
        <f>F11+G11</f>
        <v/>
      </c>
      <c r="I11" s="16">
        <f>'Ref-Tables'!$B$10</f>
        <v/>
      </c>
      <c r="J11" s="16">
        <f>H11*I11</f>
        <v/>
      </c>
      <c r="K11" s="16">
        <f>J11*1000/'Ref-Tables'!$B$13</f>
        <v/>
      </c>
      <c r="L11" s="17">
        <f>IFERROR(INDEX('Ref-Tables'!$A$21:$A$35,MATCH(K11,'Ref-Tables'!$A$21:$A$35,1)+IF(INDEX('Ref-Tables'!$A$21:$A$35,MATCH(K11,'Ref-Tables'!$A$21:$A$35,1))=K11,0,1)),'Ref-Tables'!$A$21)</f>
        <v/>
      </c>
      <c r="M11" s="16">
        <f>J11*1000/(SQRT(3)*'Ref-Tables'!$B$14)</f>
        <v/>
      </c>
      <c r="N11" s="15" t="n">
        <v>90</v>
      </c>
      <c r="O11" s="17" t="n">
        <v>16</v>
      </c>
      <c r="P11" s="16">
        <f>IFERROR(VLOOKUP(O11,'Ref-Tables'!$A$39:$C$43,2,FALSE),"")</f>
        <v/>
      </c>
      <c r="Q11" s="16">
        <f>IFERROR(ROUND(M11*N11*P11/1000/'Ref-Tables'!$B$14*100,1),"")</f>
        <v/>
      </c>
    </row>
    <row r="12">
      <c r="A12" s="14" t="inlineStr">
        <is>
          <t>Office(86)</t>
        </is>
      </c>
      <c r="B12" s="15" t="n">
        <v>203</v>
      </c>
      <c r="C12" s="15" t="n"/>
      <c r="D12" s="15" t="inlineStr">
        <is>
          <t>C7</t>
        </is>
      </c>
      <c r="E12" s="16">
        <f>IFERROR(VLOOKUP(D12,'Ref-Tables'!$A$6:$B$7,2,FALSE),"?")</f>
        <v/>
      </c>
      <c r="F12" s="16">
        <f>B12*E12/1000</f>
        <v/>
      </c>
      <c r="G12" s="16">
        <f>IF(AND(C12&lt;&gt;"",C12&gt;'Ref-Tables'!$B$18),(C12-'Ref-Tables'!$B$18)*B12*'Ref-Tables'!$B$17/1000,0)</f>
        <v/>
      </c>
      <c r="H12" s="16">
        <f>F12+G12</f>
        <v/>
      </c>
      <c r="I12" s="16">
        <f>'Ref-Tables'!$B$10</f>
        <v/>
      </c>
      <c r="J12" s="16">
        <f>H12*I12</f>
        <v/>
      </c>
      <c r="K12" s="16">
        <f>J12*1000/'Ref-Tables'!$B$13</f>
        <v/>
      </c>
      <c r="L12" s="17">
        <f>IFERROR(INDEX('Ref-Tables'!$A$21:$A$35,MATCH(K12,'Ref-Tables'!$A$21:$A$35,1)+IF(INDEX('Ref-Tables'!$A$21:$A$35,MATCH(K12,'Ref-Tables'!$A$21:$A$35,1))=K12,0,1)),'Ref-Tables'!$A$21)</f>
        <v/>
      </c>
      <c r="M12" s="16">
        <f>J12*1000/(SQRT(3)*'Ref-Tables'!$B$14)</f>
        <v/>
      </c>
      <c r="N12" s="15" t="n">
        <v>75</v>
      </c>
      <c r="O12" s="17" t="n">
        <v>16</v>
      </c>
      <c r="P12" s="16">
        <f>IFERROR(VLOOKUP(O12,'Ref-Tables'!$A$39:$C$43,2,FALSE),"")</f>
        <v/>
      </c>
      <c r="Q12" s="16">
        <f>IFERROR(ROUND(M12*N12*P12/1000/'Ref-Tables'!$B$14*100,1),"")</f>
        <v/>
      </c>
    </row>
    <row r="13">
      <c r="A13" s="14" t="inlineStr">
        <is>
          <t>Office(82)</t>
        </is>
      </c>
      <c r="B13" s="15" t="n">
        <v>101</v>
      </c>
      <c r="C13" s="15" t="n"/>
      <c r="D13" s="15" t="inlineStr">
        <is>
          <t>C7</t>
        </is>
      </c>
      <c r="E13" s="16">
        <f>IFERROR(VLOOKUP(D13,'Ref-Tables'!$A$6:$B$7,2,FALSE),"?")</f>
        <v/>
      </c>
      <c r="F13" s="16">
        <f>B13*E13/1000</f>
        <v/>
      </c>
      <c r="G13" s="16">
        <f>IF(AND(C13&lt;&gt;"",C13&gt;'Ref-Tables'!$B$18),(C13-'Ref-Tables'!$B$18)*B13*'Ref-Tables'!$B$17/1000,0)</f>
        <v/>
      </c>
      <c r="H13" s="16">
        <f>F13+G13</f>
        <v/>
      </c>
      <c r="I13" s="16">
        <f>'Ref-Tables'!$B$10</f>
        <v/>
      </c>
      <c r="J13" s="16">
        <f>H13*I13</f>
        <v/>
      </c>
      <c r="K13" s="16">
        <f>J13*1000/'Ref-Tables'!$B$13</f>
        <v/>
      </c>
      <c r="L13" s="17">
        <f>IFERROR(INDEX('Ref-Tables'!$A$21:$A$35,MATCH(K13,'Ref-Tables'!$A$21:$A$35,1)+IF(INDEX('Ref-Tables'!$A$21:$A$35,MATCH(K13,'Ref-Tables'!$A$21:$A$35,1))=K13,0,1)),'Ref-Tables'!$A$21)</f>
        <v/>
      </c>
      <c r="M13" s="16">
        <f>J13*1000/(SQRT(3)*'Ref-Tables'!$B$14)</f>
        <v/>
      </c>
      <c r="N13" s="15" t="n">
        <v>75</v>
      </c>
      <c r="O13" s="17" t="n">
        <v>6</v>
      </c>
      <c r="P13" s="16">
        <f>IFERROR(VLOOKUP(O13,'Ref-Tables'!$A$39:$C$43,2,FALSE),"")</f>
        <v/>
      </c>
      <c r="Q13" s="16">
        <f>IFERROR(ROUND(M13*N13*P13/1000/'Ref-Tables'!$B$14*100,1),"")</f>
        <v/>
      </c>
    </row>
    <row r="14">
      <c r="A14" s="14" t="inlineStr">
        <is>
          <t>Office(111)</t>
        </is>
      </c>
      <c r="B14" s="15" t="n">
        <v>79</v>
      </c>
      <c r="C14" s="15" t="n"/>
      <c r="D14" s="15" t="inlineStr">
        <is>
          <t>C7</t>
        </is>
      </c>
      <c r="E14" s="16">
        <f>IFERROR(VLOOKUP(D14,'Ref-Tables'!$A$6:$B$7,2,FALSE),"?")</f>
        <v/>
      </c>
      <c r="F14" s="16">
        <f>B14*E14/1000</f>
        <v/>
      </c>
      <c r="G14" s="16">
        <f>IF(AND(C14&lt;&gt;"",C14&gt;'Ref-Tables'!$B$18),(C14-'Ref-Tables'!$B$18)*B14*'Ref-Tables'!$B$17/1000,0)</f>
        <v/>
      </c>
      <c r="H14" s="16">
        <f>F14+G14</f>
        <v/>
      </c>
      <c r="I14" s="16">
        <f>'Ref-Tables'!$B$10</f>
        <v/>
      </c>
      <c r="J14" s="16">
        <f>H14*I14</f>
        <v/>
      </c>
      <c r="K14" s="16">
        <f>J14*1000/'Ref-Tables'!$B$13</f>
        <v/>
      </c>
      <c r="L14" s="17">
        <f>IFERROR(INDEX('Ref-Tables'!$A$21:$A$35,MATCH(K14,'Ref-Tables'!$A$21:$A$35,1)+IF(INDEX('Ref-Tables'!$A$21:$A$35,MATCH(K14,'Ref-Tables'!$A$21:$A$35,1))=K14,0,1)),'Ref-Tables'!$A$21)</f>
        <v/>
      </c>
      <c r="M14" s="16">
        <f>J14*1000/(SQRT(3)*'Ref-Tables'!$B$14)</f>
        <v/>
      </c>
      <c r="N14" s="15" t="n">
        <v>95</v>
      </c>
      <c r="O14" s="17" t="n">
        <v>6</v>
      </c>
      <c r="P14" s="16">
        <f>IFERROR(VLOOKUP(O14,'Ref-Tables'!$A$39:$C$43,2,FALSE),"")</f>
        <v/>
      </c>
      <c r="Q14" s="16">
        <f>IFERROR(ROUND(M14*N14*P14/1000/'Ref-Tables'!$B$14*100,1),"")</f>
        <v/>
      </c>
    </row>
    <row r="15">
      <c r="A15" s="14" t="inlineStr">
        <is>
          <t>Office(113)</t>
        </is>
      </c>
      <c r="B15" s="15" t="n">
        <v>201</v>
      </c>
      <c r="C15" s="15" t="n"/>
      <c r="D15" s="15" t="inlineStr">
        <is>
          <t>C7</t>
        </is>
      </c>
      <c r="E15" s="16">
        <f>IFERROR(VLOOKUP(D15,'Ref-Tables'!$A$6:$B$7,2,FALSE),"?")</f>
        <v/>
      </c>
      <c r="F15" s="16">
        <f>B15*E15/1000</f>
        <v/>
      </c>
      <c r="G15" s="16">
        <f>IF(AND(C15&lt;&gt;"",C15&gt;'Ref-Tables'!$B$18),(C15-'Ref-Tables'!$B$18)*B15*'Ref-Tables'!$B$17/1000,0)</f>
        <v/>
      </c>
      <c r="H15" s="16">
        <f>F15+G15</f>
        <v/>
      </c>
      <c r="I15" s="16">
        <f>'Ref-Tables'!$B$10</f>
        <v/>
      </c>
      <c r="J15" s="16">
        <f>H15*I15</f>
        <v/>
      </c>
      <c r="K15" s="16">
        <f>J15*1000/'Ref-Tables'!$B$13</f>
        <v/>
      </c>
      <c r="L15" s="17">
        <f>IFERROR(INDEX('Ref-Tables'!$A$21:$A$35,MATCH(K15,'Ref-Tables'!$A$21:$A$35,1)+IF(INDEX('Ref-Tables'!$A$21:$A$35,MATCH(K15,'Ref-Tables'!$A$21:$A$35,1))=K15,0,1)),'Ref-Tables'!$A$21)</f>
        <v/>
      </c>
      <c r="M15" s="16">
        <f>J15*1000/(SQRT(3)*'Ref-Tables'!$B$14)</f>
        <v/>
      </c>
      <c r="N15" s="15" t="n">
        <v>80</v>
      </c>
      <c r="O15" s="17" t="n">
        <v>16</v>
      </c>
      <c r="P15" s="16">
        <f>IFERROR(VLOOKUP(O15,'Ref-Tables'!$A$39:$C$43,2,FALSE),"")</f>
        <v/>
      </c>
      <c r="Q15" s="16">
        <f>IFERROR(ROUND(M15*N15*P15/1000/'Ref-Tables'!$B$14*100,1),"")</f>
        <v/>
      </c>
    </row>
    <row r="16">
      <c r="A16" s="14" t="inlineStr">
        <is>
          <t>Office(99)</t>
        </is>
      </c>
      <c r="B16" s="15" t="n">
        <v>151</v>
      </c>
      <c r="C16" s="15" t="n"/>
      <c r="D16" s="15" t="inlineStr">
        <is>
          <t>C7</t>
        </is>
      </c>
      <c r="E16" s="16">
        <f>IFERROR(VLOOKUP(D16,'Ref-Tables'!$A$6:$B$7,2,FALSE),"?")</f>
        <v/>
      </c>
      <c r="F16" s="16">
        <f>B16*E16/1000</f>
        <v/>
      </c>
      <c r="G16" s="16">
        <f>IF(AND(C16&lt;&gt;"",C16&gt;'Ref-Tables'!$B$18),(C16-'Ref-Tables'!$B$18)*B16*'Ref-Tables'!$B$17/1000,0)</f>
        <v/>
      </c>
      <c r="H16" s="16">
        <f>F16+G16</f>
        <v/>
      </c>
      <c r="I16" s="16">
        <f>'Ref-Tables'!$B$10</f>
        <v/>
      </c>
      <c r="J16" s="16">
        <f>H16*I16</f>
        <v/>
      </c>
      <c r="K16" s="16">
        <f>J16*1000/'Ref-Tables'!$B$13</f>
        <v/>
      </c>
      <c r="L16" s="17">
        <f>IFERROR(INDEX('Ref-Tables'!$A$21:$A$35,MATCH(K16,'Ref-Tables'!$A$21:$A$35,1)+IF(INDEX('Ref-Tables'!$A$21:$A$35,MATCH(K16,'Ref-Tables'!$A$21:$A$35,1))=K16,0,1)),'Ref-Tables'!$A$21)</f>
        <v/>
      </c>
      <c r="M16" s="16">
        <f>J16*1000/(SQRT(3)*'Ref-Tables'!$B$14)</f>
        <v/>
      </c>
      <c r="N16" s="15" t="n">
        <v>80</v>
      </c>
      <c r="O16" s="17" t="n">
        <v>10</v>
      </c>
      <c r="P16" s="16">
        <f>IFERROR(VLOOKUP(O16,'Ref-Tables'!$A$39:$C$43,2,FALSE),"")</f>
        <v/>
      </c>
      <c r="Q16" s="16">
        <f>IFERROR(ROUND(M16*N16*P16/1000/'Ref-Tables'!$B$14*100,1),"")</f>
        <v/>
      </c>
    </row>
    <row r="17">
      <c r="A17" s="14" t="inlineStr">
        <is>
          <t>Office(127)</t>
        </is>
      </c>
      <c r="B17" s="15" t="n">
        <v>145</v>
      </c>
      <c r="C17" s="15" t="n"/>
      <c r="D17" s="15" t="inlineStr">
        <is>
          <t>C7</t>
        </is>
      </c>
      <c r="E17" s="16">
        <f>IFERROR(VLOOKUP(D17,'Ref-Tables'!$A$6:$B$7,2,FALSE),"?")</f>
        <v/>
      </c>
      <c r="F17" s="16">
        <f>B17*E17/1000</f>
        <v/>
      </c>
      <c r="G17" s="16">
        <f>IF(AND(C17&lt;&gt;"",C17&gt;'Ref-Tables'!$B$18),(C17-'Ref-Tables'!$B$18)*B17*'Ref-Tables'!$B$17/1000,0)</f>
        <v/>
      </c>
      <c r="H17" s="16">
        <f>F17+G17</f>
        <v/>
      </c>
      <c r="I17" s="16">
        <f>'Ref-Tables'!$B$10</f>
        <v/>
      </c>
      <c r="J17" s="16">
        <f>H17*I17</f>
        <v/>
      </c>
      <c r="K17" s="16">
        <f>J17*1000/'Ref-Tables'!$B$13</f>
        <v/>
      </c>
      <c r="L17" s="17">
        <f>IFERROR(INDEX('Ref-Tables'!$A$21:$A$35,MATCH(K17,'Ref-Tables'!$A$21:$A$35,1)+IF(INDEX('Ref-Tables'!$A$21:$A$35,MATCH(K17,'Ref-Tables'!$A$21:$A$35,1))=K17,0,1)),'Ref-Tables'!$A$21)</f>
        <v/>
      </c>
      <c r="M17" s="16">
        <f>J17*1000/(SQRT(3)*'Ref-Tables'!$B$14)</f>
        <v/>
      </c>
      <c r="N17" s="15" t="n">
        <v>100</v>
      </c>
      <c r="O17" s="17" t="n">
        <v>10</v>
      </c>
      <c r="P17" s="16">
        <f>IFERROR(VLOOKUP(O17,'Ref-Tables'!$A$39:$C$43,2,FALSE),"")</f>
        <v/>
      </c>
      <c r="Q17" s="16">
        <f>IFERROR(ROUND(M17*N17*P17/1000/'Ref-Tables'!$B$14*100,1),"")</f>
        <v/>
      </c>
    </row>
    <row r="18">
      <c r="A18" s="14" t="inlineStr">
        <is>
          <t>Office Double H(128,383)</t>
        </is>
      </c>
      <c r="B18" s="15" t="n">
        <v>200</v>
      </c>
      <c r="C18" s="15" t="n">
        <v>7</v>
      </c>
      <c r="D18" s="15" t="inlineStr">
        <is>
          <t>C7</t>
        </is>
      </c>
      <c r="E18" s="16">
        <f>IFERROR(VLOOKUP(D18,'Ref-Tables'!$A$6:$B$7,2,FALSE),"?")</f>
        <v/>
      </c>
      <c r="F18" s="16">
        <f>B18*E18/1000</f>
        <v/>
      </c>
      <c r="G18" s="16">
        <f>IF(AND(C18&lt;&gt;"",C18&gt;'Ref-Tables'!$B$18),(C18-'Ref-Tables'!$B$18)*B18*'Ref-Tables'!$B$17/1000,0)</f>
        <v/>
      </c>
      <c r="H18" s="16">
        <f>F18+G18</f>
        <v/>
      </c>
      <c r="I18" s="16">
        <f>'Ref-Tables'!$B$10</f>
        <v/>
      </c>
      <c r="J18" s="16">
        <f>H18*I18</f>
        <v/>
      </c>
      <c r="K18" s="16">
        <f>J18*1000/'Ref-Tables'!$B$13</f>
        <v/>
      </c>
      <c r="L18" s="17">
        <f>IFERROR(INDEX('Ref-Tables'!$A$21:$A$35,MATCH(K18,'Ref-Tables'!$A$21:$A$35,1)+IF(INDEX('Ref-Tables'!$A$21:$A$35,MATCH(K18,'Ref-Tables'!$A$21:$A$35,1))=K18,0,1)),'Ref-Tables'!$A$21)</f>
        <v/>
      </c>
      <c r="M18" s="16">
        <f>J18*1000/(SQRT(3)*'Ref-Tables'!$B$14)</f>
        <v/>
      </c>
      <c r="N18" s="15" t="n">
        <v>85</v>
      </c>
      <c r="O18" s="17" t="n">
        <v>25</v>
      </c>
      <c r="P18" s="16">
        <f>IFERROR(VLOOKUP(O18,'Ref-Tables'!$A$39:$C$43,2,FALSE),"")</f>
        <v/>
      </c>
      <c r="Q18" s="16">
        <f>IFERROR(ROUND(M18*N18*P18/1000/'Ref-Tables'!$B$14*100,1),"")</f>
        <v/>
      </c>
    </row>
    <row r="19">
      <c r="A19" s="14" t="inlineStr">
        <is>
          <t>Office Duplex(145,129)</t>
        </is>
      </c>
      <c r="B19" s="15" t="n">
        <v>263</v>
      </c>
      <c r="C19" s="15" t="n"/>
      <c r="D19" s="15" t="inlineStr">
        <is>
          <t>C7</t>
        </is>
      </c>
      <c r="E19" s="16">
        <f>IFERROR(VLOOKUP(D19,'Ref-Tables'!$A$6:$B$7,2,FALSE),"?")</f>
        <v/>
      </c>
      <c r="F19" s="16">
        <f>B19*E19/1000</f>
        <v/>
      </c>
      <c r="G19" s="16">
        <f>IF(AND(C19&lt;&gt;"",C19&gt;'Ref-Tables'!$B$18),(C19-'Ref-Tables'!$B$18)*B19*'Ref-Tables'!$B$17/1000,0)</f>
        <v/>
      </c>
      <c r="H19" s="16">
        <f>F19+G19</f>
        <v/>
      </c>
      <c r="I19" s="16">
        <f>'Ref-Tables'!$B$10</f>
        <v/>
      </c>
      <c r="J19" s="16">
        <f>H19*I19</f>
        <v/>
      </c>
      <c r="K19" s="16">
        <f>J19*1000/'Ref-Tables'!$B$13</f>
        <v/>
      </c>
      <c r="L19" s="17">
        <f>IFERROR(INDEX('Ref-Tables'!$A$21:$A$35,MATCH(K19,'Ref-Tables'!$A$21:$A$35,1)+IF(INDEX('Ref-Tables'!$A$21:$A$35,MATCH(K19,'Ref-Tables'!$A$21:$A$35,1))=K19,0,1)),'Ref-Tables'!$A$21)</f>
        <v/>
      </c>
      <c r="M19" s="16">
        <f>J19*1000/(SQRT(3)*'Ref-Tables'!$B$14)</f>
        <v/>
      </c>
      <c r="N19" s="15" t="n">
        <v>85</v>
      </c>
      <c r="O19" s="17" t="n">
        <v>25</v>
      </c>
      <c r="P19" s="16">
        <f>IFERROR(VLOOKUP(O19,'Ref-Tables'!$A$39:$C$43,2,FALSE),"")</f>
        <v/>
      </c>
      <c r="Q19" s="16">
        <f>IFERROR(ROUND(M19*N19*P19/1000/'Ref-Tables'!$B$14*100,1),"")</f>
        <v/>
      </c>
    </row>
    <row r="20">
      <c r="A20" s="14" t="inlineStr">
        <is>
          <t>Office(142)</t>
        </is>
      </c>
      <c r="B20" s="15" t="n">
        <v>146</v>
      </c>
      <c r="C20" s="15" t="n"/>
      <c r="D20" s="15" t="inlineStr">
        <is>
          <t>C7</t>
        </is>
      </c>
      <c r="E20" s="16">
        <f>IFERROR(VLOOKUP(D20,'Ref-Tables'!$A$6:$B$7,2,FALSE),"?")</f>
        <v/>
      </c>
      <c r="F20" s="16">
        <f>B20*E20/1000</f>
        <v/>
      </c>
      <c r="G20" s="16">
        <f>IF(AND(C20&lt;&gt;"",C20&gt;'Ref-Tables'!$B$18),(C20-'Ref-Tables'!$B$18)*B20*'Ref-Tables'!$B$17/1000,0)</f>
        <v/>
      </c>
      <c r="H20" s="16">
        <f>F20+G20</f>
        <v/>
      </c>
      <c r="I20" s="16">
        <f>'Ref-Tables'!$B$10</f>
        <v/>
      </c>
      <c r="J20" s="16">
        <f>H20*I20</f>
        <v/>
      </c>
      <c r="K20" s="16">
        <f>J20*1000/'Ref-Tables'!$B$13</f>
        <v/>
      </c>
      <c r="L20" s="17">
        <f>IFERROR(INDEX('Ref-Tables'!$A$21:$A$35,MATCH(K20,'Ref-Tables'!$A$21:$A$35,1)+IF(INDEX('Ref-Tables'!$A$21:$A$35,MATCH(K20,'Ref-Tables'!$A$21:$A$35,1))=K20,0,1)),'Ref-Tables'!$A$21)</f>
        <v/>
      </c>
      <c r="M20" s="16">
        <f>J20*1000/(SQRT(3)*'Ref-Tables'!$B$14)</f>
        <v/>
      </c>
      <c r="N20" s="15" t="n">
        <v>105</v>
      </c>
      <c r="O20" s="17" t="n">
        <v>10</v>
      </c>
      <c r="P20" s="16">
        <f>IFERROR(VLOOKUP(O20,'Ref-Tables'!$A$39:$C$43,2,FALSE),"")</f>
        <v/>
      </c>
      <c r="Q20" s="16">
        <f>IFERROR(ROUND(M20*N20*P20/1000/'Ref-Tables'!$B$14*100,1),"")</f>
        <v/>
      </c>
    </row>
    <row r="21">
      <c r="A21" s="14" t="inlineStr">
        <is>
          <t>Office(157)</t>
        </is>
      </c>
      <c r="B21" s="15" t="n">
        <v>166</v>
      </c>
      <c r="C21" s="15" t="n"/>
      <c r="D21" s="15" t="inlineStr">
        <is>
          <t>C7</t>
        </is>
      </c>
      <c r="E21" s="16">
        <f>IFERROR(VLOOKUP(D21,'Ref-Tables'!$A$6:$B$7,2,FALSE),"?")</f>
        <v/>
      </c>
      <c r="F21" s="16">
        <f>B21*E21/1000</f>
        <v/>
      </c>
      <c r="G21" s="16">
        <f>IF(AND(C21&lt;&gt;"",C21&gt;'Ref-Tables'!$B$18),(C21-'Ref-Tables'!$B$18)*B21*'Ref-Tables'!$B$17/1000,0)</f>
        <v/>
      </c>
      <c r="H21" s="16">
        <f>F21+G21</f>
        <v/>
      </c>
      <c r="I21" s="16">
        <f>'Ref-Tables'!$B$10</f>
        <v/>
      </c>
      <c r="J21" s="16">
        <f>H21*I21</f>
        <v/>
      </c>
      <c r="K21" s="16">
        <f>J21*1000/'Ref-Tables'!$B$13</f>
        <v/>
      </c>
      <c r="L21" s="17">
        <f>IFERROR(INDEX('Ref-Tables'!$A$21:$A$35,MATCH(K21,'Ref-Tables'!$A$21:$A$35,1)+IF(INDEX('Ref-Tables'!$A$21:$A$35,MATCH(K21,'Ref-Tables'!$A$21:$A$35,1))=K21,0,1)),'Ref-Tables'!$A$21)</f>
        <v/>
      </c>
      <c r="M21" s="16">
        <f>J21*1000/(SQRT(3)*'Ref-Tables'!$B$14)</f>
        <v/>
      </c>
      <c r="N21" s="15" t="n">
        <v>90</v>
      </c>
      <c r="O21" s="17" t="n">
        <v>10</v>
      </c>
      <c r="P21" s="16">
        <f>IFERROR(VLOOKUP(O21,'Ref-Tables'!$A$39:$C$43,2,FALSE),"")</f>
        <v/>
      </c>
      <c r="Q21" s="16">
        <f>IFERROR(ROUND(M21*N21*P21/1000/'Ref-Tables'!$B$14*100,1),"")</f>
        <v/>
      </c>
    </row>
    <row r="22">
      <c r="A22" s="14" t="inlineStr">
        <is>
          <t>Office Double H(152)</t>
        </is>
      </c>
      <c r="B22" s="15" t="n">
        <v>142</v>
      </c>
      <c r="C22" s="15" t="n">
        <v>7</v>
      </c>
      <c r="D22" s="15" t="inlineStr">
        <is>
          <t>C7</t>
        </is>
      </c>
      <c r="E22" s="16">
        <f>IFERROR(VLOOKUP(D22,'Ref-Tables'!$A$6:$B$7,2,FALSE),"?")</f>
        <v/>
      </c>
      <c r="F22" s="16">
        <f>B22*E22/1000</f>
        <v/>
      </c>
      <c r="G22" s="16">
        <f>IF(AND(C22&lt;&gt;"",C22&gt;'Ref-Tables'!$B$18),(C22-'Ref-Tables'!$B$18)*B22*'Ref-Tables'!$B$17/1000,0)</f>
        <v/>
      </c>
      <c r="H22" s="16">
        <f>F22+G22</f>
        <v/>
      </c>
      <c r="I22" s="16">
        <f>'Ref-Tables'!$B$10</f>
        <v/>
      </c>
      <c r="J22" s="16">
        <f>H22*I22</f>
        <v/>
      </c>
      <c r="K22" s="16">
        <f>J22*1000/'Ref-Tables'!$B$13</f>
        <v/>
      </c>
      <c r="L22" s="17">
        <f>IFERROR(INDEX('Ref-Tables'!$A$21:$A$35,MATCH(K22,'Ref-Tables'!$A$21:$A$35,1)+IF(INDEX('Ref-Tables'!$A$21:$A$35,MATCH(K22,'Ref-Tables'!$A$21:$A$35,1))=K22,0,1)),'Ref-Tables'!$A$21)</f>
        <v/>
      </c>
      <c r="M22" s="16">
        <f>J22*1000/(SQRT(3)*'Ref-Tables'!$B$14)</f>
        <v/>
      </c>
      <c r="N22" s="15" t="n">
        <v>110</v>
      </c>
      <c r="O22" s="17" t="n">
        <v>16</v>
      </c>
      <c r="P22" s="16">
        <f>IFERROR(VLOOKUP(O22,'Ref-Tables'!$A$39:$C$43,2,FALSE),"")</f>
        <v/>
      </c>
      <c r="Q22" s="16">
        <f>IFERROR(ROUND(M22*N22*P22/1000/'Ref-Tables'!$B$14*100,1),"")</f>
        <v/>
      </c>
    </row>
    <row r="23">
      <c r="A23" s="14" t="inlineStr">
        <is>
          <t>Office(175)</t>
        </is>
      </c>
      <c r="B23" s="15" t="n">
        <v>163</v>
      </c>
      <c r="C23" s="15" t="n"/>
      <c r="D23" s="15" t="inlineStr">
        <is>
          <t>C7</t>
        </is>
      </c>
      <c r="E23" s="16">
        <f>IFERROR(VLOOKUP(D23,'Ref-Tables'!$A$6:$B$7,2,FALSE),"?")</f>
        <v/>
      </c>
      <c r="F23" s="16">
        <f>B23*E23/1000</f>
        <v/>
      </c>
      <c r="G23" s="16">
        <f>IF(AND(C23&lt;&gt;"",C23&gt;'Ref-Tables'!$B$18),(C23-'Ref-Tables'!$B$18)*B23*'Ref-Tables'!$B$17/1000,0)</f>
        <v/>
      </c>
      <c r="H23" s="16">
        <f>F23+G23</f>
        <v/>
      </c>
      <c r="I23" s="16">
        <f>'Ref-Tables'!$B$10</f>
        <v/>
      </c>
      <c r="J23" s="16">
        <f>H23*I23</f>
        <v/>
      </c>
      <c r="K23" s="16">
        <f>J23*1000/'Ref-Tables'!$B$13</f>
        <v/>
      </c>
      <c r="L23" s="17">
        <f>IFERROR(INDEX('Ref-Tables'!$A$21:$A$35,MATCH(K23,'Ref-Tables'!$A$21:$A$35,1)+IF(INDEX('Ref-Tables'!$A$21:$A$35,MATCH(K23,'Ref-Tables'!$A$21:$A$35,1))=K23,0,1)),'Ref-Tables'!$A$21)</f>
        <v/>
      </c>
      <c r="M23" s="16">
        <f>J23*1000/(SQRT(3)*'Ref-Tables'!$B$14)</f>
        <v/>
      </c>
      <c r="N23" s="15" t="n">
        <v>95</v>
      </c>
      <c r="O23" s="17" t="n">
        <v>10</v>
      </c>
      <c r="P23" s="16">
        <f>IFERROR(VLOOKUP(O23,'Ref-Tables'!$A$39:$C$43,2,FALSE),"")</f>
        <v/>
      </c>
      <c r="Q23" s="16">
        <f>IFERROR(ROUND(M23*N23*P23/1000/'Ref-Tables'!$B$14*100,1),"")</f>
        <v/>
      </c>
    </row>
    <row r="24">
      <c r="A24" s="14" t="inlineStr">
        <is>
          <t>Office(370)</t>
        </is>
      </c>
      <c r="B24" s="15" t="n">
        <v>91</v>
      </c>
      <c r="C24" s="15" t="n"/>
      <c r="D24" s="15" t="inlineStr">
        <is>
          <t>C7</t>
        </is>
      </c>
      <c r="E24" s="16">
        <f>IFERROR(VLOOKUP(D24,'Ref-Tables'!$A$6:$B$7,2,FALSE),"?")</f>
        <v/>
      </c>
      <c r="F24" s="16">
        <f>B24*E24/1000</f>
        <v/>
      </c>
      <c r="G24" s="16">
        <f>IF(AND(C24&lt;&gt;"",C24&gt;'Ref-Tables'!$B$18),(C24-'Ref-Tables'!$B$18)*B24*'Ref-Tables'!$B$17/1000,0)</f>
        <v/>
      </c>
      <c r="H24" s="16">
        <f>F24+G24</f>
        <v/>
      </c>
      <c r="I24" s="16">
        <f>'Ref-Tables'!$B$10</f>
        <v/>
      </c>
      <c r="J24" s="16">
        <f>H24*I24</f>
        <v/>
      </c>
      <c r="K24" s="16">
        <f>J24*1000/'Ref-Tables'!$B$13</f>
        <v/>
      </c>
      <c r="L24" s="17">
        <f>IFERROR(INDEX('Ref-Tables'!$A$21:$A$35,MATCH(K24,'Ref-Tables'!$A$21:$A$35,1)+IF(INDEX('Ref-Tables'!$A$21:$A$35,MATCH(K24,'Ref-Tables'!$A$21:$A$35,1))=K24,0,1)),'Ref-Tables'!$A$21)</f>
        <v/>
      </c>
      <c r="M24" s="16">
        <f>J24*1000/(SQRT(3)*'Ref-Tables'!$B$14)</f>
        <v/>
      </c>
      <c r="N24" s="15" t="n">
        <v>120</v>
      </c>
      <c r="O24" s="17" t="n">
        <v>6</v>
      </c>
      <c r="P24" s="16">
        <f>IFERROR(VLOOKUP(O24,'Ref-Tables'!$A$39:$C$43,2,FALSE),"")</f>
        <v/>
      </c>
      <c r="Q24" s="16">
        <f>IFERROR(ROUND(M24*N24*P24/1000/'Ref-Tables'!$B$14*100,1),"")</f>
        <v/>
      </c>
    </row>
    <row r="25">
      <c r="A25" s="14" t="inlineStr">
        <is>
          <t>Office(379)</t>
        </is>
      </c>
      <c r="B25" s="15" t="n">
        <v>154</v>
      </c>
      <c r="C25" s="15" t="n"/>
      <c r="D25" s="15" t="inlineStr">
        <is>
          <t>C7</t>
        </is>
      </c>
      <c r="E25" s="16">
        <f>IFERROR(VLOOKUP(D25,'Ref-Tables'!$A$6:$B$7,2,FALSE),"?")</f>
        <v/>
      </c>
      <c r="F25" s="16">
        <f>B25*E25/1000</f>
        <v/>
      </c>
      <c r="G25" s="16">
        <f>IF(AND(C25&lt;&gt;"",C25&gt;'Ref-Tables'!$B$18),(C25-'Ref-Tables'!$B$18)*B25*'Ref-Tables'!$B$17/1000,0)</f>
        <v/>
      </c>
      <c r="H25" s="16">
        <f>F25+G25</f>
        <v/>
      </c>
      <c r="I25" s="16">
        <f>'Ref-Tables'!$B$10</f>
        <v/>
      </c>
      <c r="J25" s="16">
        <f>H25*I25</f>
        <v/>
      </c>
      <c r="K25" s="16">
        <f>J25*1000/'Ref-Tables'!$B$13</f>
        <v/>
      </c>
      <c r="L25" s="17">
        <f>IFERROR(INDEX('Ref-Tables'!$A$21:$A$35,MATCH(K25,'Ref-Tables'!$A$21:$A$35,1)+IF(INDEX('Ref-Tables'!$A$21:$A$35,MATCH(K25,'Ref-Tables'!$A$21:$A$35,1))=K25,0,1)),'Ref-Tables'!$A$21)</f>
        <v/>
      </c>
      <c r="M25" s="16">
        <f>J25*1000/(SQRT(3)*'Ref-Tables'!$B$14)</f>
        <v/>
      </c>
      <c r="N25" s="15" t="n">
        <v>105</v>
      </c>
      <c r="O25" s="17" t="n">
        <v>10</v>
      </c>
      <c r="P25" s="16">
        <f>IFERROR(VLOOKUP(O25,'Ref-Tables'!$A$39:$C$43,2,FALSE),"")</f>
        <v/>
      </c>
      <c r="Q25" s="16">
        <f>IFERROR(ROUND(M25*N25*P25/1000/'Ref-Tables'!$B$14*100,1),"")</f>
        <v/>
      </c>
    </row>
    <row r="26">
      <c r="A26" s="14" t="inlineStr">
        <is>
          <t>Office(377)</t>
        </is>
      </c>
      <c r="B26" s="15" t="n">
        <v>136</v>
      </c>
      <c r="C26" s="15" t="n"/>
      <c r="D26" s="15" t="inlineStr">
        <is>
          <t>C7</t>
        </is>
      </c>
      <c r="E26" s="16">
        <f>IFERROR(VLOOKUP(D26,'Ref-Tables'!$A$6:$B$7,2,FALSE),"?")</f>
        <v/>
      </c>
      <c r="F26" s="16">
        <f>B26*E26/1000</f>
        <v/>
      </c>
      <c r="G26" s="16">
        <f>IF(AND(C26&lt;&gt;"",C26&gt;'Ref-Tables'!$B$18),(C26-'Ref-Tables'!$B$18)*B26*'Ref-Tables'!$B$17/1000,0)</f>
        <v/>
      </c>
      <c r="H26" s="16">
        <f>F26+G26</f>
        <v/>
      </c>
      <c r="I26" s="16">
        <f>'Ref-Tables'!$B$10</f>
        <v/>
      </c>
      <c r="J26" s="16">
        <f>H26*I26</f>
        <v/>
      </c>
      <c r="K26" s="16">
        <f>J26*1000/'Ref-Tables'!$B$13</f>
        <v/>
      </c>
      <c r="L26" s="17">
        <f>IFERROR(INDEX('Ref-Tables'!$A$21:$A$35,MATCH(K26,'Ref-Tables'!$A$21:$A$35,1)+IF(INDEX('Ref-Tables'!$A$21:$A$35,MATCH(K26,'Ref-Tables'!$A$21:$A$35,1))=K26,0,1)),'Ref-Tables'!$A$21)</f>
        <v/>
      </c>
      <c r="M26" s="16">
        <f>J26*1000/(SQRT(3)*'Ref-Tables'!$B$14)</f>
        <v/>
      </c>
      <c r="N26" s="15" t="n">
        <v>120</v>
      </c>
      <c r="O26" s="17" t="n">
        <v>6</v>
      </c>
      <c r="P26" s="16">
        <f>IFERROR(VLOOKUP(O26,'Ref-Tables'!$A$39:$C$43,2,FALSE),"")</f>
        <v/>
      </c>
      <c r="Q26" s="16">
        <f>IFERROR(ROUND(M26*N26*P26/1000/'Ref-Tables'!$B$14*100,1),"")</f>
        <v/>
      </c>
    </row>
    <row r="27">
      <c r="A27" s="14" t="inlineStr">
        <is>
          <t>Office Duplex(281,359)</t>
        </is>
      </c>
      <c r="B27" s="15" t="n">
        <v>158</v>
      </c>
      <c r="C27" s="15" t="n"/>
      <c r="D27" s="15" t="inlineStr">
        <is>
          <t>C7</t>
        </is>
      </c>
      <c r="E27" s="16">
        <f>IFERROR(VLOOKUP(D27,'Ref-Tables'!$A$6:$B$7,2,FALSE),"?")</f>
        <v/>
      </c>
      <c r="F27" s="16">
        <f>B27*E27/1000</f>
        <v/>
      </c>
      <c r="G27" s="16">
        <f>IF(AND(C27&lt;&gt;"",C27&gt;'Ref-Tables'!$B$18),(C27-'Ref-Tables'!$B$18)*B27*'Ref-Tables'!$B$17/1000,0)</f>
        <v/>
      </c>
      <c r="H27" s="16">
        <f>F27+G27</f>
        <v/>
      </c>
      <c r="I27" s="16">
        <f>'Ref-Tables'!$B$10</f>
        <v/>
      </c>
      <c r="J27" s="16">
        <f>H27*I27</f>
        <v/>
      </c>
      <c r="K27" s="16">
        <f>J27*1000/'Ref-Tables'!$B$13</f>
        <v/>
      </c>
      <c r="L27" s="17">
        <f>IFERROR(INDEX('Ref-Tables'!$A$21:$A$35,MATCH(K27,'Ref-Tables'!$A$21:$A$35,1)+IF(INDEX('Ref-Tables'!$A$21:$A$35,MATCH(K27,'Ref-Tables'!$A$21:$A$35,1))=K27,0,1)),'Ref-Tables'!$A$21)</f>
        <v/>
      </c>
      <c r="M27" s="16">
        <f>J27*1000/(SQRT(3)*'Ref-Tables'!$B$14)</f>
        <v/>
      </c>
      <c r="N27" s="15" t="n">
        <v>110</v>
      </c>
      <c r="O27" s="17" t="n">
        <v>10</v>
      </c>
      <c r="P27" s="16">
        <f>IFERROR(VLOOKUP(O27,'Ref-Tables'!$A$39:$C$43,2,FALSE),"")</f>
        <v/>
      </c>
      <c r="Q27" s="16">
        <f>IFERROR(ROUND(M27*N27*P27/1000/'Ref-Tables'!$B$14*100,1),"")</f>
        <v/>
      </c>
    </row>
    <row r="28">
      <c r="A28" s="14" t="inlineStr">
        <is>
          <t>Office Double H(283)</t>
        </is>
      </c>
      <c r="B28" s="15" t="n">
        <v>133</v>
      </c>
      <c r="C28" s="15" t="n">
        <v>7</v>
      </c>
      <c r="D28" s="15" t="inlineStr">
        <is>
          <t>C7</t>
        </is>
      </c>
      <c r="E28" s="16">
        <f>IFERROR(VLOOKUP(D28,'Ref-Tables'!$A$6:$B$7,2,FALSE),"?")</f>
        <v/>
      </c>
      <c r="F28" s="16">
        <f>B28*E28/1000</f>
        <v/>
      </c>
      <c r="G28" s="16">
        <f>IF(AND(C28&lt;&gt;"",C28&gt;'Ref-Tables'!$B$18),(C28-'Ref-Tables'!$B$18)*B28*'Ref-Tables'!$B$17/1000,0)</f>
        <v/>
      </c>
      <c r="H28" s="16">
        <f>F28+G28</f>
        <v/>
      </c>
      <c r="I28" s="16">
        <f>'Ref-Tables'!$B$10</f>
        <v/>
      </c>
      <c r="J28" s="16">
        <f>H28*I28</f>
        <v/>
      </c>
      <c r="K28" s="16">
        <f>J28*1000/'Ref-Tables'!$B$13</f>
        <v/>
      </c>
      <c r="L28" s="17">
        <f>IFERROR(INDEX('Ref-Tables'!$A$21:$A$35,MATCH(K28,'Ref-Tables'!$A$21:$A$35,1)+IF(INDEX('Ref-Tables'!$A$21:$A$35,MATCH(K28,'Ref-Tables'!$A$21:$A$35,1))=K28,0,1)),'Ref-Tables'!$A$21)</f>
        <v/>
      </c>
      <c r="M28" s="16">
        <f>J28*1000/(SQRT(3)*'Ref-Tables'!$B$14)</f>
        <v/>
      </c>
      <c r="N28" s="15" t="n">
        <v>125</v>
      </c>
      <c r="O28" s="17" t="n">
        <v>16</v>
      </c>
      <c r="P28" s="16">
        <f>IFERROR(VLOOKUP(O28,'Ref-Tables'!$A$39:$C$43,2,FALSE),"")</f>
        <v/>
      </c>
      <c r="Q28" s="16">
        <f>IFERROR(ROUND(M28*N28*P28/1000/'Ref-Tables'!$B$14*100,1),"")</f>
        <v/>
      </c>
    </row>
    <row r="29">
      <c r="A29" s="14" t="inlineStr">
        <is>
          <t>Office(290)</t>
        </is>
      </c>
      <c r="B29" s="15" t="n">
        <v>136</v>
      </c>
      <c r="C29" s="15" t="n"/>
      <c r="D29" s="15" t="inlineStr">
        <is>
          <t>C7</t>
        </is>
      </c>
      <c r="E29" s="16">
        <f>IFERROR(VLOOKUP(D29,'Ref-Tables'!$A$6:$B$7,2,FALSE),"?")</f>
        <v/>
      </c>
      <c r="F29" s="16">
        <f>B29*E29/1000</f>
        <v/>
      </c>
      <c r="G29" s="16">
        <f>IF(AND(C29&lt;&gt;"",C29&gt;'Ref-Tables'!$B$18),(C29-'Ref-Tables'!$B$18)*B29*'Ref-Tables'!$B$17/1000,0)</f>
        <v/>
      </c>
      <c r="H29" s="16">
        <f>F29+G29</f>
        <v/>
      </c>
      <c r="I29" s="16">
        <f>'Ref-Tables'!$B$10</f>
        <v/>
      </c>
      <c r="J29" s="16">
        <f>H29*I29</f>
        <v/>
      </c>
      <c r="K29" s="16">
        <f>J29*1000/'Ref-Tables'!$B$13</f>
        <v/>
      </c>
      <c r="L29" s="17">
        <f>IFERROR(INDEX('Ref-Tables'!$A$21:$A$35,MATCH(K29,'Ref-Tables'!$A$21:$A$35,1)+IF(INDEX('Ref-Tables'!$A$21:$A$35,MATCH(K29,'Ref-Tables'!$A$21:$A$35,1))=K29,0,1)),'Ref-Tables'!$A$21)</f>
        <v/>
      </c>
      <c r="M29" s="16">
        <f>J29*1000/(SQRT(3)*'Ref-Tables'!$B$14)</f>
        <v/>
      </c>
      <c r="N29" s="15" t="n">
        <v>110</v>
      </c>
      <c r="O29" s="17" t="n">
        <v>6</v>
      </c>
      <c r="P29" s="16">
        <f>IFERROR(VLOOKUP(O29,'Ref-Tables'!$A$39:$C$43,2,FALSE),"")</f>
        <v/>
      </c>
      <c r="Q29" s="16">
        <f>IFERROR(ROUND(M29*N29*P29/1000/'Ref-Tables'!$B$14*100,1),"")</f>
        <v/>
      </c>
    </row>
    <row r="30">
      <c r="A30" s="14" t="inlineStr">
        <is>
          <t>Office(360)</t>
        </is>
      </c>
      <c r="B30" s="15" t="n">
        <v>135</v>
      </c>
      <c r="C30" s="15" t="n"/>
      <c r="D30" s="15" t="inlineStr">
        <is>
          <t>C7</t>
        </is>
      </c>
      <c r="E30" s="16">
        <f>IFERROR(VLOOKUP(D30,'Ref-Tables'!$A$6:$B$7,2,FALSE),"?")</f>
        <v/>
      </c>
      <c r="F30" s="16">
        <f>B30*E30/1000</f>
        <v/>
      </c>
      <c r="G30" s="16">
        <f>IF(AND(C30&lt;&gt;"",C30&gt;'Ref-Tables'!$B$18),(C30-'Ref-Tables'!$B$18)*B30*'Ref-Tables'!$B$17/1000,0)</f>
        <v/>
      </c>
      <c r="H30" s="16">
        <f>F30+G30</f>
        <v/>
      </c>
      <c r="I30" s="16">
        <f>'Ref-Tables'!$B$10</f>
        <v/>
      </c>
      <c r="J30" s="16">
        <f>H30*I30</f>
        <v/>
      </c>
      <c r="K30" s="16">
        <f>J30*1000/'Ref-Tables'!$B$13</f>
        <v/>
      </c>
      <c r="L30" s="17">
        <f>IFERROR(INDEX('Ref-Tables'!$A$21:$A$35,MATCH(K30,'Ref-Tables'!$A$21:$A$35,1)+IF(INDEX('Ref-Tables'!$A$21:$A$35,MATCH(K30,'Ref-Tables'!$A$21:$A$35,1))=K30,0,1)),'Ref-Tables'!$A$21)</f>
        <v/>
      </c>
      <c r="M30" s="16">
        <f>J30*1000/(SQRT(3)*'Ref-Tables'!$B$14)</f>
        <v/>
      </c>
      <c r="N30" s="15" t="n">
        <v>115</v>
      </c>
      <c r="O30" s="17" t="n">
        <v>6</v>
      </c>
      <c r="P30" s="16">
        <f>IFERROR(VLOOKUP(O30,'Ref-Tables'!$A$39:$C$43,2,FALSE),"")</f>
        <v/>
      </c>
      <c r="Q30" s="16">
        <f>IFERROR(ROUND(M30*N30*P30/1000/'Ref-Tables'!$B$14*100,1),"")</f>
        <v/>
      </c>
    </row>
    <row r="31">
      <c r="A31" s="14" t="inlineStr">
        <is>
          <t>Office(262)</t>
        </is>
      </c>
      <c r="B31" s="15" t="n">
        <v>92</v>
      </c>
      <c r="C31" s="15" t="n"/>
      <c r="D31" s="15" t="inlineStr">
        <is>
          <t>C7</t>
        </is>
      </c>
      <c r="E31" s="16">
        <f>IFERROR(VLOOKUP(D31,'Ref-Tables'!$A$6:$B$7,2,FALSE),"?")</f>
        <v/>
      </c>
      <c r="F31" s="16">
        <f>B31*E31/1000</f>
        <v/>
      </c>
      <c r="G31" s="16">
        <f>IF(AND(C31&lt;&gt;"",C31&gt;'Ref-Tables'!$B$18),(C31-'Ref-Tables'!$B$18)*B31*'Ref-Tables'!$B$17/1000,0)</f>
        <v/>
      </c>
      <c r="H31" s="16">
        <f>F31+G31</f>
        <v/>
      </c>
      <c r="I31" s="16">
        <f>'Ref-Tables'!$B$10</f>
        <v/>
      </c>
      <c r="J31" s="16">
        <f>H31*I31</f>
        <v/>
      </c>
      <c r="K31" s="16">
        <f>J31*1000/'Ref-Tables'!$B$13</f>
        <v/>
      </c>
      <c r="L31" s="17">
        <f>IFERROR(INDEX('Ref-Tables'!$A$21:$A$35,MATCH(K31,'Ref-Tables'!$A$21:$A$35,1)+IF(INDEX('Ref-Tables'!$A$21:$A$35,MATCH(K31,'Ref-Tables'!$A$21:$A$35,1))=K31,0,1)),'Ref-Tables'!$A$21)</f>
        <v/>
      </c>
      <c r="M31" s="16">
        <f>J31*1000/(SQRT(3)*'Ref-Tables'!$B$14)</f>
        <v/>
      </c>
      <c r="N31" s="15" t="n">
        <v>120</v>
      </c>
      <c r="O31" s="17" t="n">
        <v>6</v>
      </c>
      <c r="P31" s="16">
        <f>IFERROR(VLOOKUP(O31,'Ref-Tables'!$A$39:$C$43,2,FALSE),"")</f>
        <v/>
      </c>
      <c r="Q31" s="16">
        <f>IFERROR(ROUND(M31*N31*P31/1000/'Ref-Tables'!$B$14*100,1),"")</f>
        <v/>
      </c>
    </row>
    <row r="32">
      <c r="A32" s="14" t="inlineStr">
        <is>
          <t>Office(271)</t>
        </is>
      </c>
      <c r="B32" s="15" t="n">
        <v>133</v>
      </c>
      <c r="C32" s="15" t="n"/>
      <c r="D32" s="15" t="inlineStr">
        <is>
          <t>C7</t>
        </is>
      </c>
      <c r="E32" s="16">
        <f>IFERROR(VLOOKUP(D32,'Ref-Tables'!$A$6:$B$7,2,FALSE),"?")</f>
        <v/>
      </c>
      <c r="F32" s="16">
        <f>B32*E32/1000</f>
        <v/>
      </c>
      <c r="G32" s="16">
        <f>IF(AND(C32&lt;&gt;"",C32&gt;'Ref-Tables'!$B$18),(C32-'Ref-Tables'!$B$18)*B32*'Ref-Tables'!$B$17/1000,0)</f>
        <v/>
      </c>
      <c r="H32" s="16">
        <f>F32+G32</f>
        <v/>
      </c>
      <c r="I32" s="16">
        <f>'Ref-Tables'!$B$10</f>
        <v/>
      </c>
      <c r="J32" s="16">
        <f>H32*I32</f>
        <v/>
      </c>
      <c r="K32" s="16">
        <f>J32*1000/'Ref-Tables'!$B$13</f>
        <v/>
      </c>
      <c r="L32" s="17">
        <f>IFERROR(INDEX('Ref-Tables'!$A$21:$A$35,MATCH(K32,'Ref-Tables'!$A$21:$A$35,1)+IF(INDEX('Ref-Tables'!$A$21:$A$35,MATCH(K32,'Ref-Tables'!$A$21:$A$35,1))=K32,0,1)),'Ref-Tables'!$A$21)</f>
        <v/>
      </c>
      <c r="M32" s="16">
        <f>J32*1000/(SQRT(3)*'Ref-Tables'!$B$14)</f>
        <v/>
      </c>
      <c r="N32" s="15" t="n">
        <v>120</v>
      </c>
      <c r="O32" s="17" t="n">
        <v>6</v>
      </c>
      <c r="P32" s="16">
        <f>IFERROR(VLOOKUP(O32,'Ref-Tables'!$A$39:$C$43,2,FALSE),"")</f>
        <v/>
      </c>
      <c r="Q32" s="16">
        <f>IFERROR(ROUND(M32*N32*P32/1000/'Ref-Tables'!$B$14*100,1),"")</f>
        <v/>
      </c>
    </row>
    <row r="33">
      <c r="A33" s="14" t="inlineStr">
        <is>
          <t>Office(270)</t>
        </is>
      </c>
      <c r="B33" s="15" t="n">
        <v>129</v>
      </c>
      <c r="C33" s="15" t="n"/>
      <c r="D33" s="15" t="inlineStr">
        <is>
          <t>C7</t>
        </is>
      </c>
      <c r="E33" s="16">
        <f>IFERROR(VLOOKUP(D33,'Ref-Tables'!$A$6:$B$7,2,FALSE),"?")</f>
        <v/>
      </c>
      <c r="F33" s="16">
        <f>B33*E33/1000</f>
        <v/>
      </c>
      <c r="G33" s="16">
        <f>IF(AND(C33&lt;&gt;"",C33&gt;'Ref-Tables'!$B$18),(C33-'Ref-Tables'!$B$18)*B33*'Ref-Tables'!$B$17/1000,0)</f>
        <v/>
      </c>
      <c r="H33" s="16">
        <f>F33+G33</f>
        <v/>
      </c>
      <c r="I33" s="16">
        <f>'Ref-Tables'!$B$10</f>
        <v/>
      </c>
      <c r="J33" s="16">
        <f>H33*I33</f>
        <v/>
      </c>
      <c r="K33" s="16">
        <f>J33*1000/'Ref-Tables'!$B$13</f>
        <v/>
      </c>
      <c r="L33" s="17">
        <f>IFERROR(INDEX('Ref-Tables'!$A$21:$A$35,MATCH(K33,'Ref-Tables'!$A$21:$A$35,1)+IF(INDEX('Ref-Tables'!$A$21:$A$35,MATCH(K33,'Ref-Tables'!$A$21:$A$35,1))=K33,0,1)),'Ref-Tables'!$A$21)</f>
        <v/>
      </c>
      <c r="M33" s="16">
        <f>J33*1000/(SQRT(3)*'Ref-Tables'!$B$14)</f>
        <v/>
      </c>
      <c r="N33" s="15" t="n">
        <v>135</v>
      </c>
      <c r="O33" s="17" t="n">
        <v>6</v>
      </c>
      <c r="P33" s="16">
        <f>IFERROR(VLOOKUP(O33,'Ref-Tables'!$A$39:$C$43,2,FALSE),"")</f>
        <v/>
      </c>
      <c r="Q33" s="16">
        <f>IFERROR(ROUND(M33*N33*P33/1000/'Ref-Tables'!$B$14*100,1),"")</f>
        <v/>
      </c>
    </row>
    <row r="34">
      <c r="A34" s="14" t="inlineStr">
        <is>
          <t>Office(241)</t>
        </is>
      </c>
      <c r="B34" s="15" t="n">
        <v>127</v>
      </c>
      <c r="C34" s="15" t="n"/>
      <c r="D34" s="15" t="inlineStr">
        <is>
          <t>C7</t>
        </is>
      </c>
      <c r="E34" s="16">
        <f>IFERROR(VLOOKUP(D34,'Ref-Tables'!$A$6:$B$7,2,FALSE),"?")</f>
        <v/>
      </c>
      <c r="F34" s="16">
        <f>B34*E34/1000</f>
        <v/>
      </c>
      <c r="G34" s="16">
        <f>IF(AND(C34&lt;&gt;"",C34&gt;'Ref-Tables'!$B$18),(C34-'Ref-Tables'!$B$18)*B34*'Ref-Tables'!$B$17/1000,0)</f>
        <v/>
      </c>
      <c r="H34" s="16">
        <f>F34+G34</f>
        <v/>
      </c>
      <c r="I34" s="16">
        <f>'Ref-Tables'!$B$10</f>
        <v/>
      </c>
      <c r="J34" s="16">
        <f>H34*I34</f>
        <v/>
      </c>
      <c r="K34" s="16">
        <f>J34*1000/'Ref-Tables'!$B$13</f>
        <v/>
      </c>
      <c r="L34" s="17">
        <f>IFERROR(INDEX('Ref-Tables'!$A$21:$A$35,MATCH(K34,'Ref-Tables'!$A$21:$A$35,1)+IF(INDEX('Ref-Tables'!$A$21:$A$35,MATCH(K34,'Ref-Tables'!$A$21:$A$35,1))=K34,0,1)),'Ref-Tables'!$A$21)</f>
        <v/>
      </c>
      <c r="M34" s="16">
        <f>J34*1000/(SQRT(3)*'Ref-Tables'!$B$14)</f>
        <v/>
      </c>
      <c r="N34" s="15" t="n">
        <v>140</v>
      </c>
      <c r="O34" s="17" t="n">
        <v>6</v>
      </c>
      <c r="P34" s="16">
        <f>IFERROR(VLOOKUP(O34,'Ref-Tables'!$A$39:$C$43,2,FALSE),"")</f>
        <v/>
      </c>
      <c r="Q34" s="16">
        <f>IFERROR(ROUND(M34*N34*P34/1000/'Ref-Tables'!$B$14*100,1),"")</f>
        <v/>
      </c>
    </row>
    <row r="35">
      <c r="A35" s="14" t="inlineStr">
        <is>
          <t>Office(242)</t>
        </is>
      </c>
      <c r="B35" s="15" t="n">
        <v>131</v>
      </c>
      <c r="C35" s="15" t="n"/>
      <c r="D35" s="15" t="inlineStr">
        <is>
          <t>C7</t>
        </is>
      </c>
      <c r="E35" s="16">
        <f>IFERROR(VLOOKUP(D35,'Ref-Tables'!$A$6:$B$7,2,FALSE),"?")</f>
        <v/>
      </c>
      <c r="F35" s="16">
        <f>B35*E35/1000</f>
        <v/>
      </c>
      <c r="G35" s="16">
        <f>IF(AND(C35&lt;&gt;"",C35&gt;'Ref-Tables'!$B$18),(C35-'Ref-Tables'!$B$18)*B35*'Ref-Tables'!$B$17/1000,0)</f>
        <v/>
      </c>
      <c r="H35" s="16">
        <f>F35+G35</f>
        <v/>
      </c>
      <c r="I35" s="16">
        <f>'Ref-Tables'!$B$10</f>
        <v/>
      </c>
      <c r="J35" s="16">
        <f>H35*I35</f>
        <v/>
      </c>
      <c r="K35" s="16">
        <f>J35*1000/'Ref-Tables'!$B$13</f>
        <v/>
      </c>
      <c r="L35" s="17">
        <f>IFERROR(INDEX('Ref-Tables'!$A$21:$A$35,MATCH(K35,'Ref-Tables'!$A$21:$A$35,1)+IF(INDEX('Ref-Tables'!$A$21:$A$35,MATCH(K35,'Ref-Tables'!$A$21:$A$35,1))=K35,0,1)),'Ref-Tables'!$A$21)</f>
        <v/>
      </c>
      <c r="M35" s="16">
        <f>J35*1000/(SQRT(3)*'Ref-Tables'!$B$14)</f>
        <v/>
      </c>
      <c r="N35" s="15" t="n">
        <v>125</v>
      </c>
      <c r="O35" s="17" t="n">
        <v>6</v>
      </c>
      <c r="P35" s="16">
        <f>IFERROR(VLOOKUP(O35,'Ref-Tables'!$A$39:$C$43,2,FALSE),"")</f>
        <v/>
      </c>
      <c r="Q35" s="16">
        <f>IFERROR(ROUND(M35*N35*P35/1000/'Ref-Tables'!$B$14*100,1),"")</f>
        <v/>
      </c>
    </row>
    <row r="36">
      <c r="A36" s="14" t="inlineStr">
        <is>
          <t>Office Duplex(247,357)</t>
        </is>
      </c>
      <c r="B36" s="15" t="n">
        <v>158</v>
      </c>
      <c r="C36" s="15" t="n"/>
      <c r="D36" s="15" t="inlineStr">
        <is>
          <t>C7</t>
        </is>
      </c>
      <c r="E36" s="16">
        <f>IFERROR(VLOOKUP(D36,'Ref-Tables'!$A$6:$B$7,2,FALSE),"?")</f>
        <v/>
      </c>
      <c r="F36" s="16">
        <f>B36*E36/1000</f>
        <v/>
      </c>
      <c r="G36" s="16">
        <f>IF(AND(C36&lt;&gt;"",C36&gt;'Ref-Tables'!$B$18),(C36-'Ref-Tables'!$B$18)*B36*'Ref-Tables'!$B$17/1000,0)</f>
        <v/>
      </c>
      <c r="H36" s="16">
        <f>F36+G36</f>
        <v/>
      </c>
      <c r="I36" s="16">
        <f>'Ref-Tables'!$B$10</f>
        <v/>
      </c>
      <c r="J36" s="16">
        <f>H36*I36</f>
        <v/>
      </c>
      <c r="K36" s="16">
        <f>J36*1000/'Ref-Tables'!$B$13</f>
        <v/>
      </c>
      <c r="L36" s="17">
        <f>IFERROR(INDEX('Ref-Tables'!$A$21:$A$35,MATCH(K36,'Ref-Tables'!$A$21:$A$35,1)+IF(INDEX('Ref-Tables'!$A$21:$A$35,MATCH(K36,'Ref-Tables'!$A$21:$A$35,1))=K36,0,1)),'Ref-Tables'!$A$21)</f>
        <v/>
      </c>
      <c r="M36" s="16">
        <f>J36*1000/(SQRT(3)*'Ref-Tables'!$B$14)</f>
        <v/>
      </c>
      <c r="N36" s="15" t="n">
        <v>125</v>
      </c>
      <c r="O36" s="17" t="n">
        <v>10</v>
      </c>
      <c r="P36" s="16">
        <f>IFERROR(VLOOKUP(O36,'Ref-Tables'!$A$39:$C$43,2,FALSE),"")</f>
        <v/>
      </c>
      <c r="Q36" s="16">
        <f>IFERROR(ROUND(M36*N36*P36/1000/'Ref-Tables'!$B$14*100,1),"")</f>
        <v/>
      </c>
    </row>
    <row r="37">
      <c r="A37" s="14" t="inlineStr">
        <is>
          <t>Office(254)</t>
        </is>
      </c>
      <c r="B37" s="15" t="n">
        <v>125</v>
      </c>
      <c r="C37" s="15" t="n"/>
      <c r="D37" s="15" t="inlineStr">
        <is>
          <t>C7</t>
        </is>
      </c>
      <c r="E37" s="16">
        <f>IFERROR(VLOOKUP(D37,'Ref-Tables'!$A$6:$B$7,2,FALSE),"?")</f>
        <v/>
      </c>
      <c r="F37" s="16">
        <f>B37*E37/1000</f>
        <v/>
      </c>
      <c r="G37" s="16">
        <f>IF(AND(C37&lt;&gt;"",C37&gt;'Ref-Tables'!$B$18),(C37-'Ref-Tables'!$B$18)*B37*'Ref-Tables'!$B$17/1000,0)</f>
        <v/>
      </c>
      <c r="H37" s="16">
        <f>F37+G37</f>
        <v/>
      </c>
      <c r="I37" s="16">
        <f>'Ref-Tables'!$B$10</f>
        <v/>
      </c>
      <c r="J37" s="16">
        <f>H37*I37</f>
        <v/>
      </c>
      <c r="K37" s="16">
        <f>J37*1000/'Ref-Tables'!$B$13</f>
        <v/>
      </c>
      <c r="L37" s="17">
        <f>IFERROR(INDEX('Ref-Tables'!$A$21:$A$35,MATCH(K37,'Ref-Tables'!$A$21:$A$35,1)+IF(INDEX('Ref-Tables'!$A$21:$A$35,MATCH(K37,'Ref-Tables'!$A$21:$A$35,1))=K37,0,1)),'Ref-Tables'!$A$21)</f>
        <v/>
      </c>
      <c r="M37" s="16">
        <f>J37*1000/(SQRT(3)*'Ref-Tables'!$B$14)</f>
        <v/>
      </c>
      <c r="N37" s="15" t="n">
        <v>145</v>
      </c>
      <c r="O37" s="17" t="n">
        <v>6</v>
      </c>
      <c r="P37" s="16">
        <f>IFERROR(VLOOKUP(O37,'Ref-Tables'!$A$39:$C$43,2,FALSE),"")</f>
        <v/>
      </c>
      <c r="Q37" s="16">
        <f>IFERROR(ROUND(M37*N37*P37/1000/'Ref-Tables'!$B$14*100,1),"")</f>
        <v/>
      </c>
    </row>
    <row r="38">
      <c r="A38" s="14" t="inlineStr">
        <is>
          <t>Office(256)</t>
        </is>
      </c>
      <c r="B38" s="15" t="n">
        <v>128</v>
      </c>
      <c r="C38" s="15" t="n"/>
      <c r="D38" s="15" t="inlineStr">
        <is>
          <t>C7</t>
        </is>
      </c>
      <c r="E38" s="16">
        <f>IFERROR(VLOOKUP(D38,'Ref-Tables'!$A$6:$B$7,2,FALSE),"?")</f>
        <v/>
      </c>
      <c r="F38" s="16">
        <f>B38*E38/1000</f>
        <v/>
      </c>
      <c r="G38" s="16">
        <f>IF(AND(C38&lt;&gt;"",C38&gt;'Ref-Tables'!$B$18),(C38-'Ref-Tables'!$B$18)*B38*'Ref-Tables'!$B$17/1000,0)</f>
        <v/>
      </c>
      <c r="H38" s="16">
        <f>F38+G38</f>
        <v/>
      </c>
      <c r="I38" s="16">
        <f>'Ref-Tables'!$B$10</f>
        <v/>
      </c>
      <c r="J38" s="16">
        <f>H38*I38</f>
        <v/>
      </c>
      <c r="K38" s="16">
        <f>J38*1000/'Ref-Tables'!$B$13</f>
        <v/>
      </c>
      <c r="L38" s="17">
        <f>IFERROR(INDEX('Ref-Tables'!$A$21:$A$35,MATCH(K38,'Ref-Tables'!$A$21:$A$35,1)+IF(INDEX('Ref-Tables'!$A$21:$A$35,MATCH(K38,'Ref-Tables'!$A$21:$A$35,1))=K38,0,1)),'Ref-Tables'!$A$21)</f>
        <v/>
      </c>
      <c r="M38" s="16">
        <f>J38*1000/(SQRT(3)*'Ref-Tables'!$B$14)</f>
        <v/>
      </c>
      <c r="N38" s="15" t="n">
        <v>130</v>
      </c>
      <c r="O38" s="17" t="n">
        <v>6</v>
      </c>
      <c r="P38" s="16">
        <f>IFERROR(VLOOKUP(O38,'Ref-Tables'!$A$39:$C$43,2,FALSE),"")</f>
        <v/>
      </c>
      <c r="Q38" s="16">
        <f>IFERROR(ROUND(M38*N38*P38/1000/'Ref-Tables'!$B$14*100,1),"")</f>
        <v/>
      </c>
    </row>
    <row r="39">
      <c r="A39" s="14" t="inlineStr">
        <is>
          <t>Office(396)</t>
        </is>
      </c>
      <c r="B39" s="15" t="n">
        <v>126</v>
      </c>
      <c r="C39" s="15" t="n"/>
      <c r="D39" s="15" t="inlineStr">
        <is>
          <t>C7</t>
        </is>
      </c>
      <c r="E39" s="16">
        <f>IFERROR(VLOOKUP(D39,'Ref-Tables'!$A$6:$B$7,2,FALSE),"?")</f>
        <v/>
      </c>
      <c r="F39" s="16">
        <f>B39*E39/1000</f>
        <v/>
      </c>
      <c r="G39" s="16">
        <f>IF(AND(C39&lt;&gt;"",C39&gt;'Ref-Tables'!$B$18),(C39-'Ref-Tables'!$B$18)*B39*'Ref-Tables'!$B$17/1000,0)</f>
        <v/>
      </c>
      <c r="H39" s="16">
        <f>F39+G39</f>
        <v/>
      </c>
      <c r="I39" s="16">
        <f>'Ref-Tables'!$B$10</f>
        <v/>
      </c>
      <c r="J39" s="16">
        <f>H39*I39</f>
        <v/>
      </c>
      <c r="K39" s="16">
        <f>J39*1000/'Ref-Tables'!$B$13</f>
        <v/>
      </c>
      <c r="L39" s="17">
        <f>IFERROR(INDEX('Ref-Tables'!$A$21:$A$35,MATCH(K39,'Ref-Tables'!$A$21:$A$35,1)+IF(INDEX('Ref-Tables'!$A$21:$A$35,MATCH(K39,'Ref-Tables'!$A$21:$A$35,1))=K39,0,1)),'Ref-Tables'!$A$21)</f>
        <v/>
      </c>
      <c r="M39" s="16">
        <f>J39*1000/(SQRT(3)*'Ref-Tables'!$B$14)</f>
        <v/>
      </c>
      <c r="N39" s="15" t="n">
        <v>135</v>
      </c>
      <c r="O39" s="17" t="n">
        <v>6</v>
      </c>
      <c r="P39" s="16">
        <f>IFERROR(VLOOKUP(O39,'Ref-Tables'!$A$39:$C$43,2,FALSE),"")</f>
        <v/>
      </c>
      <c r="Q39" s="16">
        <f>IFERROR(ROUND(M39*N39*P39/1000/'Ref-Tables'!$B$14*100,1),"")</f>
        <v/>
      </c>
    </row>
    <row r="40">
      <c r="A40" s="14" t="inlineStr">
        <is>
          <t>Office(395)</t>
        </is>
      </c>
      <c r="B40" s="15" t="n">
        <v>123</v>
      </c>
      <c r="C40" s="15" t="n"/>
      <c r="D40" s="15" t="inlineStr">
        <is>
          <t>C7</t>
        </is>
      </c>
      <c r="E40" s="16">
        <f>IFERROR(VLOOKUP(D40,'Ref-Tables'!$A$6:$B$7,2,FALSE),"?")</f>
        <v/>
      </c>
      <c r="F40" s="16">
        <f>B40*E40/1000</f>
        <v/>
      </c>
      <c r="G40" s="16">
        <f>IF(AND(C40&lt;&gt;"",C40&gt;'Ref-Tables'!$B$18),(C40-'Ref-Tables'!$B$18)*B40*'Ref-Tables'!$B$17/1000,0)</f>
        <v/>
      </c>
      <c r="H40" s="16">
        <f>F40+G40</f>
        <v/>
      </c>
      <c r="I40" s="16">
        <f>'Ref-Tables'!$B$10</f>
        <v/>
      </c>
      <c r="J40" s="16">
        <f>H40*I40</f>
        <v/>
      </c>
      <c r="K40" s="16">
        <f>J40*1000/'Ref-Tables'!$B$13</f>
        <v/>
      </c>
      <c r="L40" s="17">
        <f>IFERROR(INDEX('Ref-Tables'!$A$21:$A$35,MATCH(K40,'Ref-Tables'!$A$21:$A$35,1)+IF(INDEX('Ref-Tables'!$A$21:$A$35,MATCH(K40,'Ref-Tables'!$A$21:$A$35,1))=K40,0,1)),'Ref-Tables'!$A$21)</f>
        <v/>
      </c>
      <c r="M40" s="16">
        <f>J40*1000/(SQRT(3)*'Ref-Tables'!$B$14)</f>
        <v/>
      </c>
      <c r="N40" s="15" t="n">
        <v>150</v>
      </c>
      <c r="O40" s="17" t="n">
        <v>10</v>
      </c>
      <c r="P40" s="16">
        <f>IFERROR(VLOOKUP(O40,'Ref-Tables'!$A$39:$C$43,2,FALSE),"")</f>
        <v/>
      </c>
      <c r="Q40" s="16">
        <f>IFERROR(ROUND(M40*N40*P40/1000/'Ref-Tables'!$B$14*100,1),"")</f>
        <v/>
      </c>
    </row>
    <row r="41">
      <c r="A41" s="14" t="inlineStr">
        <is>
          <t>Office Duplex(393,409)</t>
        </is>
      </c>
      <c r="B41" s="15" t="n">
        <v>158</v>
      </c>
      <c r="C41" s="15" t="n"/>
      <c r="D41" s="15" t="inlineStr">
        <is>
          <t>C7</t>
        </is>
      </c>
      <c r="E41" s="16">
        <f>IFERROR(VLOOKUP(D41,'Ref-Tables'!$A$6:$B$7,2,FALSE),"?")</f>
        <v/>
      </c>
      <c r="F41" s="16">
        <f>B41*E41/1000</f>
        <v/>
      </c>
      <c r="G41" s="16">
        <f>IF(AND(C41&lt;&gt;"",C41&gt;'Ref-Tables'!$B$18),(C41-'Ref-Tables'!$B$18)*B41*'Ref-Tables'!$B$17/1000,0)</f>
        <v/>
      </c>
      <c r="H41" s="16">
        <f>F41+G41</f>
        <v/>
      </c>
      <c r="I41" s="16">
        <f>'Ref-Tables'!$B$10</f>
        <v/>
      </c>
      <c r="J41" s="16">
        <f>H41*I41</f>
        <v/>
      </c>
      <c r="K41" s="16">
        <f>J41*1000/'Ref-Tables'!$B$13</f>
        <v/>
      </c>
      <c r="L41" s="17">
        <f>IFERROR(INDEX('Ref-Tables'!$A$21:$A$35,MATCH(K41,'Ref-Tables'!$A$21:$A$35,1)+IF(INDEX('Ref-Tables'!$A$21:$A$35,MATCH(K41,'Ref-Tables'!$A$21:$A$35,1))=K41,0,1)),'Ref-Tables'!$A$21)</f>
        <v/>
      </c>
      <c r="M41" s="16">
        <f>J41*1000/(SQRT(3)*'Ref-Tables'!$B$14)</f>
        <v/>
      </c>
      <c r="N41" s="15" t="n">
        <v>135</v>
      </c>
      <c r="O41" s="17" t="n">
        <v>10</v>
      </c>
      <c r="P41" s="16">
        <f>IFERROR(VLOOKUP(O41,'Ref-Tables'!$A$39:$C$43,2,FALSE),"")</f>
        <v/>
      </c>
      <c r="Q41" s="16">
        <f>IFERROR(ROUND(M41*N41*P41/1000/'Ref-Tables'!$B$14*100,1),"")</f>
        <v/>
      </c>
    </row>
    <row r="42">
      <c r="A42" s="14" t="inlineStr">
        <is>
          <t>Office(402)</t>
        </is>
      </c>
      <c r="B42" s="15" t="n">
        <v>99</v>
      </c>
      <c r="C42" s="15" t="n"/>
      <c r="D42" s="15" t="inlineStr">
        <is>
          <t>C7</t>
        </is>
      </c>
      <c r="E42" s="16">
        <f>IFERROR(VLOOKUP(D42,'Ref-Tables'!$A$6:$B$7,2,FALSE),"?")</f>
        <v/>
      </c>
      <c r="F42" s="16">
        <f>B42*E42/1000</f>
        <v/>
      </c>
      <c r="G42" s="16">
        <f>IF(AND(C42&lt;&gt;"",C42&gt;'Ref-Tables'!$B$18),(C42-'Ref-Tables'!$B$18)*B42*'Ref-Tables'!$B$17/1000,0)</f>
        <v/>
      </c>
      <c r="H42" s="16">
        <f>F42+G42</f>
        <v/>
      </c>
      <c r="I42" s="16">
        <f>'Ref-Tables'!$B$10</f>
        <v/>
      </c>
      <c r="J42" s="16">
        <f>H42*I42</f>
        <v/>
      </c>
      <c r="K42" s="16">
        <f>J42*1000/'Ref-Tables'!$B$13</f>
        <v/>
      </c>
      <c r="L42" s="17">
        <f>IFERROR(INDEX('Ref-Tables'!$A$21:$A$35,MATCH(K42,'Ref-Tables'!$A$21:$A$35,1)+IF(INDEX('Ref-Tables'!$A$21:$A$35,MATCH(K42,'Ref-Tables'!$A$21:$A$35,1))=K42,0,1)),'Ref-Tables'!$A$21)</f>
        <v/>
      </c>
      <c r="M42" s="16">
        <f>J42*1000/(SQRT(3)*'Ref-Tables'!$B$14)</f>
        <v/>
      </c>
      <c r="N42" s="15" t="n">
        <v>155</v>
      </c>
      <c r="O42" s="17" t="n">
        <v>6</v>
      </c>
      <c r="P42" s="16">
        <f>IFERROR(VLOOKUP(O42,'Ref-Tables'!$A$39:$C$43,2,FALSE),"")</f>
        <v/>
      </c>
      <c r="Q42" s="16">
        <f>IFERROR(ROUND(M42*N42*P42/1000/'Ref-Tables'!$B$14*100,1),"")</f>
        <v/>
      </c>
    </row>
    <row r="43">
      <c r="A43" s="14" t="inlineStr">
        <is>
          <t>Office(404)</t>
        </is>
      </c>
      <c r="B43" s="15" t="n">
        <v>124</v>
      </c>
      <c r="C43" s="15" t="n"/>
      <c r="D43" s="15" t="inlineStr">
        <is>
          <t>C7</t>
        </is>
      </c>
      <c r="E43" s="16">
        <f>IFERROR(VLOOKUP(D43,'Ref-Tables'!$A$6:$B$7,2,FALSE),"?")</f>
        <v/>
      </c>
      <c r="F43" s="16">
        <f>B43*E43/1000</f>
        <v/>
      </c>
      <c r="G43" s="16">
        <f>IF(AND(C43&lt;&gt;"",C43&gt;'Ref-Tables'!$B$18),(C43-'Ref-Tables'!$B$18)*B43*'Ref-Tables'!$B$17/1000,0)</f>
        <v/>
      </c>
      <c r="H43" s="16">
        <f>F43+G43</f>
        <v/>
      </c>
      <c r="I43" s="16">
        <f>'Ref-Tables'!$B$10</f>
        <v/>
      </c>
      <c r="J43" s="16">
        <f>H43*I43</f>
        <v/>
      </c>
      <c r="K43" s="16">
        <f>J43*1000/'Ref-Tables'!$B$13</f>
        <v/>
      </c>
      <c r="L43" s="17">
        <f>IFERROR(INDEX('Ref-Tables'!$A$21:$A$35,MATCH(K43,'Ref-Tables'!$A$21:$A$35,1)+IF(INDEX('Ref-Tables'!$A$21:$A$35,MATCH(K43,'Ref-Tables'!$A$21:$A$35,1))=K43,0,1)),'Ref-Tables'!$A$21)</f>
        <v/>
      </c>
      <c r="M43" s="16">
        <f>J43*1000/(SQRT(3)*'Ref-Tables'!$B$14)</f>
        <v/>
      </c>
      <c r="N43" s="15" t="n">
        <v>140</v>
      </c>
      <c r="O43" s="17" t="n">
        <v>6</v>
      </c>
      <c r="P43" s="16">
        <f>IFERROR(VLOOKUP(O43,'Ref-Tables'!$A$39:$C$43,2,FALSE),"")</f>
        <v/>
      </c>
      <c r="Q43" s="16">
        <f>IFERROR(ROUND(M43*N43*P43/1000/'Ref-Tables'!$B$14*100,1),"")</f>
        <v/>
      </c>
    </row>
    <row r="44">
      <c r="A44" s="14" t="inlineStr">
        <is>
          <t>Office(415)</t>
        </is>
      </c>
      <c r="B44" s="15" t="n">
        <v>92</v>
      </c>
      <c r="C44" s="15" t="n"/>
      <c r="D44" s="15" t="inlineStr">
        <is>
          <t>C7</t>
        </is>
      </c>
      <c r="E44" s="16">
        <f>IFERROR(VLOOKUP(D44,'Ref-Tables'!$A$6:$B$7,2,FALSE),"?")</f>
        <v/>
      </c>
      <c r="F44" s="16">
        <f>B44*E44/1000</f>
        <v/>
      </c>
      <c r="G44" s="16">
        <f>IF(AND(C44&lt;&gt;"",C44&gt;'Ref-Tables'!$B$18),(C44-'Ref-Tables'!$B$18)*B44*'Ref-Tables'!$B$17/1000,0)</f>
        <v/>
      </c>
      <c r="H44" s="16">
        <f>F44+G44</f>
        <v/>
      </c>
      <c r="I44" s="16">
        <f>'Ref-Tables'!$B$10</f>
        <v/>
      </c>
      <c r="J44" s="16">
        <f>H44*I44</f>
        <v/>
      </c>
      <c r="K44" s="16">
        <f>J44*1000/'Ref-Tables'!$B$13</f>
        <v/>
      </c>
      <c r="L44" s="17">
        <f>IFERROR(INDEX('Ref-Tables'!$A$21:$A$35,MATCH(K44,'Ref-Tables'!$A$21:$A$35,1)+IF(INDEX('Ref-Tables'!$A$21:$A$35,MATCH(K44,'Ref-Tables'!$A$21:$A$35,1))=K44,0,1)),'Ref-Tables'!$A$21)</f>
        <v/>
      </c>
      <c r="M44" s="16">
        <f>J44*1000/(SQRT(3)*'Ref-Tables'!$B$14)</f>
        <v/>
      </c>
      <c r="N44" s="15" t="n">
        <v>145</v>
      </c>
      <c r="O44" s="17" t="n">
        <v>6</v>
      </c>
      <c r="P44" s="16">
        <f>IFERROR(VLOOKUP(O44,'Ref-Tables'!$A$39:$C$43,2,FALSE),"")</f>
        <v/>
      </c>
      <c r="Q44" s="16">
        <f>IFERROR(ROUND(M44*N44*P44/1000/'Ref-Tables'!$B$14*100,1),"")</f>
        <v/>
      </c>
    </row>
    <row r="45">
      <c r="A45" s="14" t="inlineStr">
        <is>
          <t>Office(421)</t>
        </is>
      </c>
      <c r="B45" s="15" t="n">
        <v>99</v>
      </c>
      <c r="C45" s="15" t="n"/>
      <c r="D45" s="15" t="inlineStr">
        <is>
          <t>C7</t>
        </is>
      </c>
      <c r="E45" s="16">
        <f>IFERROR(VLOOKUP(D45,'Ref-Tables'!$A$6:$B$7,2,FALSE),"?")</f>
        <v/>
      </c>
      <c r="F45" s="16">
        <f>B45*E45/1000</f>
        <v/>
      </c>
      <c r="G45" s="16">
        <f>IF(AND(C45&lt;&gt;"",C45&gt;'Ref-Tables'!$B$18),(C45-'Ref-Tables'!$B$18)*B45*'Ref-Tables'!$B$17/1000,0)</f>
        <v/>
      </c>
      <c r="H45" s="16">
        <f>F45+G45</f>
        <v/>
      </c>
      <c r="I45" s="16">
        <f>'Ref-Tables'!$B$10</f>
        <v/>
      </c>
      <c r="J45" s="16">
        <f>H45*I45</f>
        <v/>
      </c>
      <c r="K45" s="16">
        <f>J45*1000/'Ref-Tables'!$B$13</f>
        <v/>
      </c>
      <c r="L45" s="17">
        <f>IFERROR(INDEX('Ref-Tables'!$A$21:$A$35,MATCH(K45,'Ref-Tables'!$A$21:$A$35,1)+IF(INDEX('Ref-Tables'!$A$21:$A$35,MATCH(K45,'Ref-Tables'!$A$21:$A$35,1))=K45,0,1)),'Ref-Tables'!$A$21)</f>
        <v/>
      </c>
      <c r="M45" s="16">
        <f>J45*1000/(SQRT(3)*'Ref-Tables'!$B$14)</f>
        <v/>
      </c>
      <c r="N45" s="15" t="n">
        <v>160</v>
      </c>
      <c r="O45" s="17" t="n">
        <v>6</v>
      </c>
      <c r="P45" s="16">
        <f>IFERROR(VLOOKUP(O45,'Ref-Tables'!$A$39:$C$43,2,FALSE),"")</f>
        <v/>
      </c>
      <c r="Q45" s="16">
        <f>IFERROR(ROUND(M45*N45*P45/1000/'Ref-Tables'!$B$14*100,1),"")</f>
        <v/>
      </c>
    </row>
    <row r="46">
      <c r="A46" s="14" t="inlineStr">
        <is>
          <t>Office(422)</t>
        </is>
      </c>
      <c r="B46" s="15" t="n">
        <v>122</v>
      </c>
      <c r="C46" s="15" t="n"/>
      <c r="D46" s="15" t="inlineStr">
        <is>
          <t>C7</t>
        </is>
      </c>
      <c r="E46" s="16">
        <f>IFERROR(VLOOKUP(D46,'Ref-Tables'!$A$6:$B$7,2,FALSE),"?")</f>
        <v/>
      </c>
      <c r="F46" s="16">
        <f>B46*E46/1000</f>
        <v/>
      </c>
      <c r="G46" s="16">
        <f>IF(AND(C46&lt;&gt;"",C46&gt;'Ref-Tables'!$B$18),(C46-'Ref-Tables'!$B$18)*B46*'Ref-Tables'!$B$17/1000,0)</f>
        <v/>
      </c>
      <c r="H46" s="16">
        <f>F46+G46</f>
        <v/>
      </c>
      <c r="I46" s="16">
        <f>'Ref-Tables'!$B$10</f>
        <v/>
      </c>
      <c r="J46" s="16">
        <f>H46*I46</f>
        <v/>
      </c>
      <c r="K46" s="16">
        <f>J46*1000/'Ref-Tables'!$B$13</f>
        <v/>
      </c>
      <c r="L46" s="17">
        <f>IFERROR(INDEX('Ref-Tables'!$A$21:$A$35,MATCH(K46,'Ref-Tables'!$A$21:$A$35,1)+IF(INDEX('Ref-Tables'!$A$21:$A$35,MATCH(K46,'Ref-Tables'!$A$21:$A$35,1))=K46,0,1)),'Ref-Tables'!$A$21)</f>
        <v/>
      </c>
      <c r="M46" s="16">
        <f>J46*1000/(SQRT(3)*'Ref-Tables'!$B$14)</f>
        <v/>
      </c>
      <c r="N46" s="15" t="n">
        <v>145</v>
      </c>
      <c r="O46" s="17" t="n">
        <v>6</v>
      </c>
      <c r="P46" s="16">
        <f>IFERROR(VLOOKUP(O46,'Ref-Tables'!$A$39:$C$43,2,FALSE),"")</f>
        <v/>
      </c>
      <c r="Q46" s="16">
        <f>IFERROR(ROUND(M46*N46*P46/1000/'Ref-Tables'!$B$14*100,1),"")</f>
        <v/>
      </c>
    </row>
    <row r="47">
      <c r="A47" s="14" t="inlineStr">
        <is>
          <t>Office(450)</t>
        </is>
      </c>
      <c r="B47" s="15" t="n">
        <v>74</v>
      </c>
      <c r="C47" s="15" t="n"/>
      <c r="D47" s="15" t="inlineStr">
        <is>
          <t>C7</t>
        </is>
      </c>
      <c r="E47" s="16">
        <f>IFERROR(VLOOKUP(D47,'Ref-Tables'!$A$6:$B$7,2,FALSE),"?")</f>
        <v/>
      </c>
      <c r="F47" s="16">
        <f>B47*E47/1000</f>
        <v/>
      </c>
      <c r="G47" s="16">
        <f>IF(AND(C47&lt;&gt;"",C47&gt;'Ref-Tables'!$B$18),(C47-'Ref-Tables'!$B$18)*B47*'Ref-Tables'!$B$17/1000,0)</f>
        <v/>
      </c>
      <c r="H47" s="16">
        <f>F47+G47</f>
        <v/>
      </c>
      <c r="I47" s="16">
        <f>'Ref-Tables'!$B$10</f>
        <v/>
      </c>
      <c r="J47" s="16">
        <f>H47*I47</f>
        <v/>
      </c>
      <c r="K47" s="16">
        <f>J47*1000/'Ref-Tables'!$B$13</f>
        <v/>
      </c>
      <c r="L47" s="17">
        <f>IFERROR(INDEX('Ref-Tables'!$A$21:$A$35,MATCH(K47,'Ref-Tables'!$A$21:$A$35,1)+IF(INDEX('Ref-Tables'!$A$21:$A$35,MATCH(K47,'Ref-Tables'!$A$21:$A$35,1))=K47,0,1)),'Ref-Tables'!$A$21)</f>
        <v/>
      </c>
      <c r="M47" s="16">
        <f>J47*1000/(SQRT(3)*'Ref-Tables'!$B$14)</f>
        <v/>
      </c>
      <c r="N47" s="15" t="n">
        <v>150</v>
      </c>
      <c r="O47" s="17" t="n">
        <v>6</v>
      </c>
      <c r="P47" s="16">
        <f>IFERROR(VLOOKUP(O47,'Ref-Tables'!$A$39:$C$43,2,FALSE),"")</f>
        <v/>
      </c>
      <c r="Q47" s="16">
        <f>IFERROR(ROUND(M47*N47*P47/1000/'Ref-Tables'!$B$14*100,1),"")</f>
        <v/>
      </c>
    </row>
    <row r="48">
      <c r="A48" s="14" t="inlineStr">
        <is>
          <t>Office(453)</t>
        </is>
      </c>
      <c r="B48" s="15" t="n">
        <v>142</v>
      </c>
      <c r="C48" s="15" t="n"/>
      <c r="D48" s="15" t="inlineStr">
        <is>
          <t>C7</t>
        </is>
      </c>
      <c r="E48" s="16">
        <f>IFERROR(VLOOKUP(D48,'Ref-Tables'!$A$6:$B$7,2,FALSE),"?")</f>
        <v/>
      </c>
      <c r="F48" s="16">
        <f>B48*E48/1000</f>
        <v/>
      </c>
      <c r="G48" s="16">
        <f>IF(AND(C48&lt;&gt;"",C48&gt;'Ref-Tables'!$B$18),(C48-'Ref-Tables'!$B$18)*B48*'Ref-Tables'!$B$17/1000,0)</f>
        <v/>
      </c>
      <c r="H48" s="16">
        <f>F48+G48</f>
        <v/>
      </c>
      <c r="I48" s="16">
        <f>'Ref-Tables'!$B$10</f>
        <v/>
      </c>
      <c r="J48" s="16">
        <f>H48*I48</f>
        <v/>
      </c>
      <c r="K48" s="16">
        <f>J48*1000/'Ref-Tables'!$B$13</f>
        <v/>
      </c>
      <c r="L48" s="17">
        <f>IFERROR(INDEX('Ref-Tables'!$A$21:$A$35,MATCH(K48,'Ref-Tables'!$A$21:$A$35,1)+IF(INDEX('Ref-Tables'!$A$21:$A$35,MATCH(K48,'Ref-Tables'!$A$21:$A$35,1))=K48,0,1)),'Ref-Tables'!$A$21)</f>
        <v/>
      </c>
      <c r="M48" s="16">
        <f>J48*1000/(SQRT(3)*'Ref-Tables'!$B$14)</f>
        <v/>
      </c>
      <c r="N48" s="15" t="n">
        <v>165</v>
      </c>
      <c r="O48" s="17" t="n">
        <v>10</v>
      </c>
      <c r="P48" s="16">
        <f>IFERROR(VLOOKUP(O48,'Ref-Tables'!$A$39:$C$43,2,FALSE),"")</f>
        <v/>
      </c>
      <c r="Q48" s="16">
        <f>IFERROR(ROUND(M48*N48*P48/1000/'Ref-Tables'!$B$14*100,1),"")</f>
        <v/>
      </c>
    </row>
    <row r="49">
      <c r="A49" s="14" t="inlineStr">
        <is>
          <t>Office(452)</t>
        </is>
      </c>
      <c r="B49" s="15" t="n">
        <v>69</v>
      </c>
      <c r="C49" s="15" t="n"/>
      <c r="D49" s="15" t="inlineStr">
        <is>
          <t>C7</t>
        </is>
      </c>
      <c r="E49" s="16">
        <f>IFERROR(VLOOKUP(D49,'Ref-Tables'!$A$6:$B$7,2,FALSE),"?")</f>
        <v/>
      </c>
      <c r="F49" s="16">
        <f>B49*E49/1000</f>
        <v/>
      </c>
      <c r="G49" s="16">
        <f>IF(AND(C49&lt;&gt;"",C49&gt;'Ref-Tables'!$B$18),(C49-'Ref-Tables'!$B$18)*B49*'Ref-Tables'!$B$17/1000,0)</f>
        <v/>
      </c>
      <c r="H49" s="16">
        <f>F49+G49</f>
        <v/>
      </c>
      <c r="I49" s="16">
        <f>'Ref-Tables'!$B$10</f>
        <v/>
      </c>
      <c r="J49" s="16">
        <f>H49*I49</f>
        <v/>
      </c>
      <c r="K49" s="16">
        <f>J49*1000/'Ref-Tables'!$B$13</f>
        <v/>
      </c>
      <c r="L49" s="17">
        <f>IFERROR(INDEX('Ref-Tables'!$A$21:$A$35,MATCH(K49,'Ref-Tables'!$A$21:$A$35,1)+IF(INDEX('Ref-Tables'!$A$21:$A$35,MATCH(K49,'Ref-Tables'!$A$21:$A$35,1))=K49,0,1)),'Ref-Tables'!$A$21)</f>
        <v/>
      </c>
      <c r="M49" s="16">
        <f>J49*1000/(SQRT(3)*'Ref-Tables'!$B$14)</f>
        <v/>
      </c>
      <c r="N49" s="15" t="n">
        <v>150</v>
      </c>
      <c r="O49" s="17" t="n">
        <v>6</v>
      </c>
      <c r="P49" s="16">
        <f>IFERROR(VLOOKUP(O49,'Ref-Tables'!$A$39:$C$43,2,FALSE),"")</f>
        <v/>
      </c>
      <c r="Q49" s="16">
        <f>IFERROR(ROUND(M49*N49*P49/1000/'Ref-Tables'!$B$14*100,1),"")</f>
        <v/>
      </c>
    </row>
    <row r="50">
      <c r="A50" s="14" t="inlineStr">
        <is>
          <t>Office(440)</t>
        </is>
      </c>
      <c r="B50" s="15" t="n">
        <v>74</v>
      </c>
      <c r="C50" s="15" t="n"/>
      <c r="D50" s="15" t="inlineStr">
        <is>
          <t>C7</t>
        </is>
      </c>
      <c r="E50" s="16">
        <f>IFERROR(VLOOKUP(D50,'Ref-Tables'!$A$6:$B$7,2,FALSE),"?")</f>
        <v/>
      </c>
      <c r="F50" s="16">
        <f>B50*E50/1000</f>
        <v/>
      </c>
      <c r="G50" s="16">
        <f>IF(AND(C50&lt;&gt;"",C50&gt;'Ref-Tables'!$B$18),(C50-'Ref-Tables'!$B$18)*B50*'Ref-Tables'!$B$17/1000,0)</f>
        <v/>
      </c>
      <c r="H50" s="16">
        <f>F50+G50</f>
        <v/>
      </c>
      <c r="I50" s="16">
        <f>'Ref-Tables'!$B$10</f>
        <v/>
      </c>
      <c r="J50" s="16">
        <f>H50*I50</f>
        <v/>
      </c>
      <c r="K50" s="16">
        <f>J50*1000/'Ref-Tables'!$B$13</f>
        <v/>
      </c>
      <c r="L50" s="17">
        <f>IFERROR(INDEX('Ref-Tables'!$A$21:$A$35,MATCH(K50,'Ref-Tables'!$A$21:$A$35,1)+IF(INDEX('Ref-Tables'!$A$21:$A$35,MATCH(K50,'Ref-Tables'!$A$21:$A$35,1))=K50,0,1)),'Ref-Tables'!$A$21)</f>
        <v/>
      </c>
      <c r="M50" s="16">
        <f>J50*1000/(SQRT(3)*'Ref-Tables'!$B$14)</f>
        <v/>
      </c>
      <c r="N50" s="15" t="n">
        <v>175</v>
      </c>
      <c r="O50" s="17" t="n">
        <v>6</v>
      </c>
      <c r="P50" s="16">
        <f>IFERROR(VLOOKUP(O50,'Ref-Tables'!$A$39:$C$43,2,FALSE),"")</f>
        <v/>
      </c>
      <c r="Q50" s="16">
        <f>IFERROR(ROUND(M50*N50*P50/1000/'Ref-Tables'!$B$14*100,1),"")</f>
        <v/>
      </c>
    </row>
    <row r="51">
      <c r="A51" s="14" t="inlineStr">
        <is>
          <t>Office(441)</t>
        </is>
      </c>
      <c r="B51" s="15" t="n">
        <v>136</v>
      </c>
      <c r="C51" s="15" t="n"/>
      <c r="D51" s="15" t="inlineStr">
        <is>
          <t>C7</t>
        </is>
      </c>
      <c r="E51" s="16">
        <f>IFERROR(VLOOKUP(D51,'Ref-Tables'!$A$6:$B$7,2,FALSE),"?")</f>
        <v/>
      </c>
      <c r="F51" s="16">
        <f>B51*E51/1000</f>
        <v/>
      </c>
      <c r="G51" s="16">
        <f>IF(AND(C51&lt;&gt;"",C51&gt;'Ref-Tables'!$B$18),(C51-'Ref-Tables'!$B$18)*B51*'Ref-Tables'!$B$17/1000,0)</f>
        <v/>
      </c>
      <c r="H51" s="16">
        <f>F51+G51</f>
        <v/>
      </c>
      <c r="I51" s="16">
        <f>'Ref-Tables'!$B$10</f>
        <v/>
      </c>
      <c r="J51" s="16">
        <f>H51*I51</f>
        <v/>
      </c>
      <c r="K51" s="16">
        <f>J51*1000/'Ref-Tables'!$B$13</f>
        <v/>
      </c>
      <c r="L51" s="17">
        <f>IFERROR(INDEX('Ref-Tables'!$A$21:$A$35,MATCH(K51,'Ref-Tables'!$A$21:$A$35,1)+IF(INDEX('Ref-Tables'!$A$21:$A$35,MATCH(K51,'Ref-Tables'!$A$21:$A$35,1))=K51,0,1)),'Ref-Tables'!$A$21)</f>
        <v/>
      </c>
      <c r="M51" s="16">
        <f>J51*1000/(SQRT(3)*'Ref-Tables'!$B$14)</f>
        <v/>
      </c>
      <c r="N51" s="15" t="n">
        <v>160</v>
      </c>
      <c r="O51" s="17" t="n">
        <v>10</v>
      </c>
      <c r="P51" s="16">
        <f>IFERROR(VLOOKUP(O51,'Ref-Tables'!$A$39:$C$43,2,FALSE),"")</f>
        <v/>
      </c>
      <c r="Q51" s="16">
        <f>IFERROR(ROUND(M51*N51*P51/1000/'Ref-Tables'!$B$14*100,1),"")</f>
        <v/>
      </c>
    </row>
    <row r="52">
      <c r="A52" s="14" t="inlineStr">
        <is>
          <t>Office(442)</t>
        </is>
      </c>
      <c r="B52" s="15" t="n">
        <v>64</v>
      </c>
      <c r="C52" s="15" t="n"/>
      <c r="D52" s="15" t="inlineStr">
        <is>
          <t>C7</t>
        </is>
      </c>
      <c r="E52" s="16">
        <f>IFERROR(VLOOKUP(D52,'Ref-Tables'!$A$6:$B$7,2,FALSE),"?")</f>
        <v/>
      </c>
      <c r="F52" s="16">
        <f>B52*E52/1000</f>
        <v/>
      </c>
      <c r="G52" s="16">
        <f>IF(AND(C52&lt;&gt;"",C52&gt;'Ref-Tables'!$B$18),(C52-'Ref-Tables'!$B$18)*B52*'Ref-Tables'!$B$17/1000,0)</f>
        <v/>
      </c>
      <c r="H52" s="16">
        <f>F52+G52</f>
        <v/>
      </c>
      <c r="I52" s="16">
        <f>'Ref-Tables'!$B$10</f>
        <v/>
      </c>
      <c r="J52" s="16">
        <f>H52*I52</f>
        <v/>
      </c>
      <c r="K52" s="16">
        <f>J52*1000/'Ref-Tables'!$B$13</f>
        <v/>
      </c>
      <c r="L52" s="17">
        <f>IFERROR(INDEX('Ref-Tables'!$A$21:$A$35,MATCH(K52,'Ref-Tables'!$A$21:$A$35,1)+IF(INDEX('Ref-Tables'!$A$21:$A$35,MATCH(K52,'Ref-Tables'!$A$21:$A$35,1))=K52,0,1)),'Ref-Tables'!$A$21)</f>
        <v/>
      </c>
      <c r="M52" s="16">
        <f>J52*1000/(SQRT(3)*'Ref-Tables'!$B$14)</f>
        <v/>
      </c>
      <c r="N52" s="15" t="n">
        <v>175</v>
      </c>
      <c r="O52" s="17" t="n">
        <v>6</v>
      </c>
      <c r="P52" s="16">
        <f>IFERROR(VLOOKUP(O52,'Ref-Tables'!$A$39:$C$43,2,FALSE),"")</f>
        <v/>
      </c>
      <c r="Q52" s="16">
        <f>IFERROR(ROUND(M52*N52*P52/1000/'Ref-Tables'!$B$14*100,1),"")</f>
        <v/>
      </c>
    </row>
    <row r="53">
      <c r="A53" s="14" t="inlineStr">
        <is>
          <t>Office(449)</t>
        </is>
      </c>
      <c r="B53" s="15" t="n">
        <v>74</v>
      </c>
      <c r="C53" s="15" t="n"/>
      <c r="D53" s="15" t="inlineStr">
        <is>
          <t>C7</t>
        </is>
      </c>
      <c r="E53" s="16">
        <f>IFERROR(VLOOKUP(D53,'Ref-Tables'!$A$6:$B$7,2,FALSE),"?")</f>
        <v/>
      </c>
      <c r="F53" s="16">
        <f>B53*E53/1000</f>
        <v/>
      </c>
      <c r="G53" s="16">
        <f>IF(AND(C53&lt;&gt;"",C53&gt;'Ref-Tables'!$B$18),(C53-'Ref-Tables'!$B$18)*B53*'Ref-Tables'!$B$17/1000,0)</f>
        <v/>
      </c>
      <c r="H53" s="16">
        <f>F53+G53</f>
        <v/>
      </c>
      <c r="I53" s="16">
        <f>'Ref-Tables'!$B$10</f>
        <v/>
      </c>
      <c r="J53" s="16">
        <f>H53*I53</f>
        <v/>
      </c>
      <c r="K53" s="16">
        <f>J53*1000/'Ref-Tables'!$B$13</f>
        <v/>
      </c>
      <c r="L53" s="17">
        <f>IFERROR(INDEX('Ref-Tables'!$A$21:$A$35,MATCH(K53,'Ref-Tables'!$A$21:$A$35,1)+IF(INDEX('Ref-Tables'!$A$21:$A$35,MATCH(K53,'Ref-Tables'!$A$21:$A$35,1))=K53,0,1)),'Ref-Tables'!$A$21)</f>
        <v/>
      </c>
      <c r="M53" s="16">
        <f>J53*1000/(SQRT(3)*'Ref-Tables'!$B$14)</f>
        <v/>
      </c>
      <c r="N53" s="15" t="n">
        <v>165</v>
      </c>
      <c r="O53" s="17" t="n">
        <v>6</v>
      </c>
      <c r="P53" s="16">
        <f>IFERROR(VLOOKUP(O53,'Ref-Tables'!$A$39:$C$43,2,FALSE),"")</f>
        <v/>
      </c>
      <c r="Q53" s="16">
        <f>IFERROR(ROUND(M53*N53*P53/1000/'Ref-Tables'!$B$14*100,1),"")</f>
        <v/>
      </c>
    </row>
    <row r="54">
      <c r="A54" s="14" t="inlineStr">
        <is>
          <t>Office Duplex(448)</t>
        </is>
      </c>
      <c r="B54" s="15" t="n">
        <v>414</v>
      </c>
      <c r="C54" s="15" t="n"/>
      <c r="D54" s="15" t="inlineStr">
        <is>
          <t>C7</t>
        </is>
      </c>
      <c r="E54" s="16">
        <f>IFERROR(VLOOKUP(D54,'Ref-Tables'!$A$6:$B$7,2,FALSE),"?")</f>
        <v/>
      </c>
      <c r="F54" s="16">
        <f>B54*E54/1000</f>
        <v/>
      </c>
      <c r="G54" s="16">
        <f>IF(AND(C54&lt;&gt;"",C54&gt;'Ref-Tables'!$B$18),(C54-'Ref-Tables'!$B$18)*B54*'Ref-Tables'!$B$17/1000,0)</f>
        <v/>
      </c>
      <c r="H54" s="16">
        <f>F54+G54</f>
        <v/>
      </c>
      <c r="I54" s="16">
        <f>'Ref-Tables'!$B$10</f>
        <v/>
      </c>
      <c r="J54" s="16">
        <f>H54*I54</f>
        <v/>
      </c>
      <c r="K54" s="16">
        <f>J54*1000/'Ref-Tables'!$B$13</f>
        <v/>
      </c>
      <c r="L54" s="17">
        <f>IFERROR(INDEX('Ref-Tables'!$A$21:$A$35,MATCH(K54,'Ref-Tables'!$A$21:$A$35,1)+IF(INDEX('Ref-Tables'!$A$21:$A$35,MATCH(K54,'Ref-Tables'!$A$21:$A$35,1))=K54,0,1)),'Ref-Tables'!$A$21)</f>
        <v/>
      </c>
      <c r="M54" s="16">
        <f>J54*1000/(SQRT(3)*'Ref-Tables'!$B$14)</f>
        <v/>
      </c>
      <c r="N54" s="15" t="n">
        <v>180</v>
      </c>
      <c r="O54" s="17" t="n">
        <v>35</v>
      </c>
      <c r="P54" s="16">
        <f>IFERROR(VLOOKUP(O54,'Ref-Tables'!$A$39:$C$43,2,FALSE),"")</f>
        <v/>
      </c>
      <c r="Q54" s="16">
        <f>IFERROR(ROUND(M54*N54*P54/1000/'Ref-Tables'!$B$14*100,1),"")</f>
        <v/>
      </c>
    </row>
    <row r="55">
      <c r="A55" s="14" t="inlineStr">
        <is>
          <t>Office(33)</t>
        </is>
      </c>
      <c r="B55" s="15" t="n">
        <v>74</v>
      </c>
      <c r="C55" s="15" t="n"/>
      <c r="D55" s="15" t="inlineStr">
        <is>
          <t>C7</t>
        </is>
      </c>
      <c r="E55" s="16">
        <f>IFERROR(VLOOKUP(D55,'Ref-Tables'!$A$6:$B$7,2,FALSE),"?")</f>
        <v/>
      </c>
      <c r="F55" s="16">
        <f>B55*E55/1000</f>
        <v/>
      </c>
      <c r="G55" s="16">
        <f>IF(AND(C55&lt;&gt;"",C55&gt;'Ref-Tables'!$B$18),(C55-'Ref-Tables'!$B$18)*B55*'Ref-Tables'!$B$17/1000,0)</f>
        <v/>
      </c>
      <c r="H55" s="16">
        <f>F55+G55</f>
        <v/>
      </c>
      <c r="I55" s="16">
        <f>'Ref-Tables'!$B$10</f>
        <v/>
      </c>
      <c r="J55" s="16">
        <f>H55*I55</f>
        <v/>
      </c>
      <c r="K55" s="16">
        <f>J55*1000/'Ref-Tables'!$B$13</f>
        <v/>
      </c>
      <c r="L55" s="17">
        <f>IFERROR(INDEX('Ref-Tables'!$A$21:$A$35,MATCH(K55,'Ref-Tables'!$A$21:$A$35,1)+IF(INDEX('Ref-Tables'!$A$21:$A$35,MATCH(K55,'Ref-Tables'!$A$21:$A$35,1))=K55,0,1)),'Ref-Tables'!$A$21)</f>
        <v/>
      </c>
      <c r="M55" s="16">
        <f>J55*1000/(SQRT(3)*'Ref-Tables'!$B$14)</f>
        <v/>
      </c>
      <c r="N55" s="15" t="n">
        <v>170</v>
      </c>
      <c r="O55" s="17" t="n">
        <v>6</v>
      </c>
      <c r="P55" s="16">
        <f>IFERROR(VLOOKUP(O55,'Ref-Tables'!$A$39:$C$43,2,FALSE),"")</f>
        <v/>
      </c>
      <c r="Q55" s="16">
        <f>IFERROR(ROUND(M55*N55*P55/1000/'Ref-Tables'!$B$14*100,1),"")</f>
        <v/>
      </c>
    </row>
    <row r="56">
      <c r="A56" s="14" t="inlineStr">
        <is>
          <t>Office Duplex(197,415)</t>
        </is>
      </c>
      <c r="B56" s="15" t="n">
        <v>379</v>
      </c>
      <c r="C56" s="15" t="n"/>
      <c r="D56" s="15" t="inlineStr">
        <is>
          <t>C7</t>
        </is>
      </c>
      <c r="E56" s="16">
        <f>IFERROR(VLOOKUP(D56,'Ref-Tables'!$A$6:$B$7,2,FALSE),"?")</f>
        <v/>
      </c>
      <c r="F56" s="16">
        <f>B56*E56/1000</f>
        <v/>
      </c>
      <c r="G56" s="16">
        <f>IF(AND(C56&lt;&gt;"",C56&gt;'Ref-Tables'!$B$18),(C56-'Ref-Tables'!$B$18)*B56*'Ref-Tables'!$B$17/1000,0)</f>
        <v/>
      </c>
      <c r="H56" s="16">
        <f>F56+G56</f>
        <v/>
      </c>
      <c r="I56" s="16">
        <f>'Ref-Tables'!$B$10</f>
        <v/>
      </c>
      <c r="J56" s="16">
        <f>H56*I56</f>
        <v/>
      </c>
      <c r="K56" s="16">
        <f>J56*1000/'Ref-Tables'!$B$13</f>
        <v/>
      </c>
      <c r="L56" s="17">
        <f>IFERROR(INDEX('Ref-Tables'!$A$21:$A$35,MATCH(K56,'Ref-Tables'!$A$21:$A$35,1)+IF(INDEX('Ref-Tables'!$A$21:$A$35,MATCH(K56,'Ref-Tables'!$A$21:$A$35,1))=K56,0,1)),'Ref-Tables'!$A$21)</f>
        <v/>
      </c>
      <c r="M56" s="16">
        <f>J56*1000/(SQRT(3)*'Ref-Tables'!$B$14)</f>
        <v/>
      </c>
      <c r="N56" s="15" t="n">
        <v>175</v>
      </c>
      <c r="O56" s="17" t="n">
        <v>35</v>
      </c>
      <c r="P56" s="16">
        <f>IFERROR(VLOOKUP(O56,'Ref-Tables'!$A$39:$C$43,2,FALSE),"")</f>
        <v/>
      </c>
      <c r="Q56" s="16">
        <f>IFERROR(ROUND(M56*N56*P56/1000/'Ref-Tables'!$B$14*100,1),"")</f>
        <v/>
      </c>
    </row>
    <row r="57">
      <c r="A57" s="14" t="inlineStr">
        <is>
          <t>Office(430)</t>
        </is>
      </c>
      <c r="B57" s="15" t="n">
        <v>74</v>
      </c>
      <c r="C57" s="15" t="n"/>
      <c r="D57" s="15" t="inlineStr">
        <is>
          <t>C7</t>
        </is>
      </c>
      <c r="E57" s="16">
        <f>IFERROR(VLOOKUP(D57,'Ref-Tables'!$A$6:$B$7,2,FALSE),"?")</f>
        <v/>
      </c>
      <c r="F57" s="16">
        <f>B57*E57/1000</f>
        <v/>
      </c>
      <c r="G57" s="16">
        <f>IF(AND(C57&lt;&gt;"",C57&gt;'Ref-Tables'!$B$18),(C57-'Ref-Tables'!$B$18)*B57*'Ref-Tables'!$B$17/1000,0)</f>
        <v/>
      </c>
      <c r="H57" s="16">
        <f>F57+G57</f>
        <v/>
      </c>
      <c r="I57" s="16">
        <f>'Ref-Tables'!$B$10</f>
        <v/>
      </c>
      <c r="J57" s="16">
        <f>H57*I57</f>
        <v/>
      </c>
      <c r="K57" s="16">
        <f>J57*1000/'Ref-Tables'!$B$13</f>
        <v/>
      </c>
      <c r="L57" s="17">
        <f>IFERROR(INDEX('Ref-Tables'!$A$21:$A$35,MATCH(K57,'Ref-Tables'!$A$21:$A$35,1)+IF(INDEX('Ref-Tables'!$A$21:$A$35,MATCH(K57,'Ref-Tables'!$A$21:$A$35,1))=K57,0,1)),'Ref-Tables'!$A$21)</f>
        <v/>
      </c>
      <c r="M57" s="16">
        <f>J57*1000/(SQRT(3)*'Ref-Tables'!$B$14)</f>
        <v/>
      </c>
      <c r="N57" s="15" t="n">
        <v>175</v>
      </c>
      <c r="O57" s="17" t="n">
        <v>6</v>
      </c>
      <c r="P57" s="16">
        <f>IFERROR(VLOOKUP(O57,'Ref-Tables'!$A$39:$C$43,2,FALSE),"")</f>
        <v/>
      </c>
      <c r="Q57" s="16">
        <f>IFERROR(ROUND(M57*N57*P57/1000/'Ref-Tables'!$B$14*100,1),"")</f>
        <v/>
      </c>
    </row>
  </sheetData>
  <mergeCells count="2">
    <mergeCell ref="A1:O1"/>
    <mergeCell ref="P1:Q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</cols>
  <sheetData>
    <row r="1" ht="20" customHeight="1">
      <c r="A1" s="11" t="inlineStr">
        <is>
          <t>Board Summary — MDB-OFFICES (OUTPUT)</t>
        </is>
      </c>
      <c r="B1" s="2" t="n"/>
      <c r="C1" s="2" t="n"/>
    </row>
    <row r="2">
      <c r="A2" s="3" t="inlineStr">
        <is>
          <t>Feeds transformer sizing, panel schedules and the single-line diagram.</t>
        </is>
      </c>
    </row>
    <row r="4">
      <c r="A4" s="6" t="inlineStr">
        <is>
          <t>Offices</t>
        </is>
      </c>
      <c r="B4" s="18" t="n">
        <v>54</v>
      </c>
      <c r="C4" s="19" t="inlineStr"/>
    </row>
    <row r="5">
      <c r="A5" s="6" t="inlineStr">
        <is>
          <t>Total connected</t>
        </is>
      </c>
      <c r="B5" s="18">
        <f>SUM('Load-Calc'!F4:F57)</f>
        <v/>
      </c>
      <c r="C5" s="19" t="inlineStr">
        <is>
          <t>kVA</t>
        </is>
      </c>
    </row>
    <row r="6">
      <c r="A6" s="6" t="inlineStr">
        <is>
          <t>Total additional (double-height)</t>
        </is>
      </c>
      <c r="B6" s="18">
        <f>SUM('Load-Calc'!G4:G57)</f>
        <v/>
      </c>
      <c r="C6" s="19" t="inlineStr">
        <is>
          <t>kVA</t>
        </is>
      </c>
    </row>
    <row r="7">
      <c r="A7" s="6" t="inlineStr">
        <is>
          <t>Total demand</t>
        </is>
      </c>
      <c r="B7" s="18">
        <f>SUM('Load-Calc'!J4:J57)</f>
        <v/>
      </c>
      <c r="C7" s="19" t="inlineStr">
        <is>
          <t>kVA</t>
        </is>
      </c>
    </row>
    <row r="8">
      <c r="A8" s="6" t="inlineStr">
        <is>
          <t>Main incomer current</t>
        </is>
      </c>
      <c r="B8" s="18">
        <f>SUM('Load-Calc'!J4:J57)*1000/(SQRT(3)*400)</f>
        <v/>
      </c>
      <c r="C8" s="19" t="inlineStr">
        <is>
          <t>A</t>
        </is>
      </c>
    </row>
    <row r="9">
      <c r="A9" s="6" t="inlineStr">
        <is>
          <t>Max feeder voltage drop</t>
        </is>
      </c>
      <c r="B9" s="18">
        <f>MAX('Load-Calc'!Q4:Q57)</f>
        <v/>
      </c>
      <c r="C9" s="19" t="inlineStr">
        <is>
          <t>%</t>
        </is>
      </c>
    </row>
    <row r="11" ht="40" customHeight="1">
      <c r="A11" s="20" t="inlineStr">
        <is>
          <t>⚠ Data-quality flag: Printed board total 846.33216 kVA does not match the sum of 54 row demands (877.369 kVA); difference 31.03684 kVA. Row values are authoritative.</t>
        </is>
      </c>
    </row>
  </sheetData>
  <mergeCells count="3">
    <mergeCell ref="A1:C1"/>
    <mergeCell ref="A11:C11"/>
    <mergeCell ref="A2:C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40" customWidth="1" min="4" max="4"/>
  </cols>
  <sheetData>
    <row r="1" ht="20" customHeight="1">
      <c r="A1" s="11" t="inlineStr">
        <is>
          <t>Reference Tables — edit these; the calc recomputes</t>
        </is>
      </c>
      <c r="B1" s="2" t="n"/>
      <c r="C1" s="2" t="n"/>
      <c r="D1" s="2" t="n"/>
    </row>
    <row r="2">
      <c r="A2" s="21" t="inlineStr">
        <is>
          <t>Values used by the real Y-Tower EL-CAL-5002 load calculation. Indicative — an engineer confirms per project. FLAG: DPS 2022 is a Saudi standard but the project is in Egypt; confirm applicable code with the design office.</t>
        </is>
      </c>
    </row>
    <row r="4">
      <c r="A4" s="22" t="inlineStr">
        <is>
          <t>Power density (VA/m²)</t>
        </is>
      </c>
      <c r="B4" s="5" t="n"/>
      <c r="C4" s="5" t="n"/>
      <c r="D4" s="23" t="inlineStr">
        <is>
          <t>DPS 2022 Table 19, p.27</t>
        </is>
      </c>
    </row>
    <row r="5">
      <c r="A5" s="24" t="inlineStr">
        <is>
          <t>Category</t>
        </is>
      </c>
      <c r="B5" s="24" t="inlineStr">
        <is>
          <t>VA/m²</t>
        </is>
      </c>
    </row>
    <row r="6">
      <c r="A6" t="inlineStr">
        <is>
          <t>C6</t>
        </is>
      </c>
      <c r="B6" s="25" t="n">
        <v>188</v>
      </c>
    </row>
    <row r="7">
      <c r="A7" t="inlineStr">
        <is>
          <t>C7</t>
        </is>
      </c>
      <c r="B7" s="25" t="n">
        <v>176</v>
      </c>
    </row>
    <row r="9">
      <c r="A9" s="22" t="inlineStr">
        <is>
          <t>Demand factor</t>
        </is>
      </c>
      <c r="B9" s="5" t="n"/>
      <c r="C9" s="5" t="n"/>
      <c r="D9" s="23" t="inlineStr">
        <is>
          <t>DPS 2022 Table 20, p.29</t>
        </is>
      </c>
    </row>
    <row r="10">
      <c r="A10" s="24" t="inlineStr">
        <is>
          <t>office</t>
        </is>
      </c>
      <c r="B10" s="25" t="n">
        <v>0.6</v>
      </c>
    </row>
    <row r="12">
      <c r="A12" s="22" t="inlineStr">
        <is>
          <t>Current divisor &amp; voltage</t>
        </is>
      </c>
      <c r="B12" s="5" t="n"/>
      <c r="C12" s="5" t="n"/>
      <c r="D12" s="5" t="n"/>
    </row>
    <row r="13">
      <c r="A13" s="24" t="inlineStr">
        <is>
          <t>Load-table divisor (÷)</t>
        </is>
      </c>
      <c r="B13" s="25" t="n">
        <v>690</v>
      </c>
      <c r="C13" s="19" t="inlineStr">
        <is>
          <t>(Demand×1000/690)</t>
        </is>
      </c>
    </row>
    <row r="14">
      <c r="A14" s="24" t="inlineStr">
        <is>
          <t>System voltage</t>
        </is>
      </c>
      <c r="B14" s="25" t="n">
        <v>400</v>
      </c>
      <c r="C14" s="19" t="inlineStr">
        <is>
          <t>V, L-L</t>
        </is>
      </c>
    </row>
    <row r="16">
      <c r="A16" s="22" t="inlineStr">
        <is>
          <t>Double-height adder</t>
        </is>
      </c>
      <c r="B16" s="5" t="n"/>
      <c r="C16" s="5" t="n"/>
      <c r="D16" s="23" t="inlineStr">
        <is>
          <t>DPS 2022, p.26</t>
        </is>
      </c>
    </row>
    <row r="17">
      <c r="A17" s="24" t="inlineStr">
        <is>
          <t>rate</t>
        </is>
      </c>
      <c r="B17" s="25" t="n">
        <v>24</v>
      </c>
      <c r="C17" s="19" t="inlineStr">
        <is>
          <t>VA/m³</t>
        </is>
      </c>
    </row>
    <row r="18">
      <c r="A18" s="24" t="inlineStr">
        <is>
          <t>standard height</t>
        </is>
      </c>
      <c r="B18" s="25" t="n">
        <v>3.5</v>
      </c>
      <c r="C18" s="19" t="inlineStr">
        <is>
          <t>m</t>
        </is>
      </c>
    </row>
    <row r="20">
      <c r="A20" s="22" t="inlineStr">
        <is>
          <t>Breaker ladder (A)</t>
        </is>
      </c>
      <c r="B20" s="5" t="n"/>
      <c r="C20" s="5" t="n"/>
      <c r="D20" s="23" t="inlineStr">
        <is>
          <t>DPS 2022 Table 27, p.45</t>
        </is>
      </c>
    </row>
    <row r="21">
      <c r="A21" s="25" t="n">
        <v>20</v>
      </c>
    </row>
    <row r="22">
      <c r="A22" s="25" t="n">
        <v>30</v>
      </c>
    </row>
    <row r="23">
      <c r="A23" s="25" t="n">
        <v>40</v>
      </c>
    </row>
    <row r="24">
      <c r="A24" s="25" t="n">
        <v>50</v>
      </c>
    </row>
    <row r="25">
      <c r="A25" s="25" t="n">
        <v>70</v>
      </c>
    </row>
    <row r="26">
      <c r="A26" s="25" t="n">
        <v>100</v>
      </c>
    </row>
    <row r="27">
      <c r="A27" s="25" t="n">
        <v>125</v>
      </c>
    </row>
    <row r="28">
      <c r="A28" s="25" t="n">
        <v>150</v>
      </c>
    </row>
    <row r="29">
      <c r="A29" s="25" t="n">
        <v>200</v>
      </c>
    </row>
    <row r="30">
      <c r="A30" s="25" t="n">
        <v>250</v>
      </c>
    </row>
    <row r="31">
      <c r="A31" s="25" t="n">
        <v>300</v>
      </c>
    </row>
    <row r="32">
      <c r="A32" s="25" t="n">
        <v>400</v>
      </c>
    </row>
    <row r="33">
      <c r="A33" s="25" t="n">
        <v>500</v>
      </c>
    </row>
    <row r="34">
      <c r="A34" s="25" t="n">
        <v>600</v>
      </c>
    </row>
    <row r="35">
      <c r="A35" s="25" t="n">
        <v>800</v>
      </c>
    </row>
    <row r="37">
      <c r="A37" s="22" t="inlineStr">
        <is>
          <t>Cable: CSA → mv/a/m &amp; derated ampacity</t>
        </is>
      </c>
      <c r="B37" s="5" t="n"/>
      <c r="C37" s="5" t="n"/>
      <c r="D37" s="23" t="inlineStr">
        <is>
          <t>EL-CAL-5002 cable sheet mv/a/meter column (fixed per CSA; already includes the 3-phase √3 factor)</t>
        </is>
      </c>
    </row>
    <row r="38">
      <c r="A38" s="24" t="inlineStr">
        <is>
          <t>CSA mm²</t>
        </is>
      </c>
      <c r="B38" s="24" t="inlineStr">
        <is>
          <t>mv/a/m</t>
        </is>
      </c>
      <c r="C38" s="24" t="inlineStr">
        <is>
          <t>Derated A</t>
        </is>
      </c>
    </row>
    <row r="39">
      <c r="A39" s="26" t="n">
        <v>6</v>
      </c>
      <c r="B39" s="25" t="n">
        <v>5.8</v>
      </c>
      <c r="C39" s="25" t="n">
        <v>21</v>
      </c>
    </row>
    <row r="40">
      <c r="A40" s="26" t="n">
        <v>10</v>
      </c>
      <c r="B40" s="25" t="n">
        <v>3.5</v>
      </c>
      <c r="C40" s="25" t="n">
        <v>29</v>
      </c>
    </row>
    <row r="41">
      <c r="A41" s="26" t="n">
        <v>16</v>
      </c>
      <c r="B41" s="25" t="n">
        <v>2.2</v>
      </c>
      <c r="C41" s="25" t="n">
        <v>39</v>
      </c>
    </row>
    <row r="42">
      <c r="A42" s="26" t="n">
        <v>25</v>
      </c>
      <c r="B42" s="25" t="n">
        <v>1.4</v>
      </c>
      <c r="C42" s="25" t="n">
        <v>52</v>
      </c>
    </row>
    <row r="43">
      <c r="A43" s="26" t="n">
        <v>35</v>
      </c>
      <c r="B43" s="25" t="n">
        <v>1.1</v>
      </c>
      <c r="C43" s="25" t="n">
        <v>80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2026-07-08T05:30:06Z</dcterms:created>
  <dcterms:modified xmlns:dcterms="http://purl.org/dc/terms/" xmlns:xsi="http://www.w3.org/2001/XMLSchema-instance" xsi:type="dcterms:W3CDTF">2026-07-08T05:30:06Z</dcterms:modified>
</cp:coreProperties>
</file>