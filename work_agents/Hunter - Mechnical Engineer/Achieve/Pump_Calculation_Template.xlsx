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mp_Calculation" sheetId="1" r:id="rId5"/>
  </sheets>
  <definedNames/>
  <calcPr/>
</workbook>
</file>

<file path=xl/sharedStrings.xml><?xml version="1.0" encoding="utf-8"?>
<sst xmlns="http://schemas.openxmlformats.org/spreadsheetml/2006/main" count="80" uniqueCount="53">
  <si>
    <t>Category</t>
  </si>
  <si>
    <t>Parameter</t>
  </si>
  <si>
    <t>Value</t>
  </si>
  <si>
    <t>Unit</t>
  </si>
  <si>
    <t>Formula/Note</t>
  </si>
  <si>
    <t>INPUT</t>
  </si>
  <si>
    <t>Fluid Density (rho)</t>
  </si>
  <si>
    <t>kg/m3</t>
  </si>
  <si>
    <t>At operating temperature</t>
  </si>
  <si>
    <t>Operating Temp</t>
  </si>
  <si>
    <t>C</t>
  </si>
  <si>
    <t>Vapor Pressure (Pv)</t>
  </si>
  <si>
    <t>bar(a)</t>
  </si>
  <si>
    <t>Absolute pressure</t>
  </si>
  <si>
    <t>Suction Vessel Pressure (Ps_v)</t>
  </si>
  <si>
    <t>bar(g)</t>
  </si>
  <si>
    <t>Gauge pressure</t>
  </si>
  <si>
    <t>Discharge Vessel Pressure (Pd_v)</t>
  </si>
  <si>
    <t>Rated Flow Rate (Q)</t>
  </si>
  <si>
    <t>m3/h</t>
  </si>
  <si>
    <t>Normal flow + 10% margin</t>
  </si>
  <si>
    <t>Suction Static Head (zs)</t>
  </si>
  <si>
    <t>m</t>
  </si>
  <si>
    <t>Height above pump CL</t>
  </si>
  <si>
    <t>Discharge Static Head (zd)</t>
  </si>
  <si>
    <t>Suction Friction Loss (hf_s)</t>
  </si>
  <si>
    <t>Includes valves and strainers</t>
  </si>
  <si>
    <t>Discharge Friction Loss (hf_d)</t>
  </si>
  <si>
    <t>Includes valves and piping</t>
  </si>
  <si>
    <t>CALC</t>
  </si>
  <si>
    <t>Atmospheric Pressure</t>
  </si>
  <si>
    <t>bar</t>
  </si>
  <si>
    <t>Adjust for altitude</t>
  </si>
  <si>
    <t>Total Suction Head (Hs)</t>
  </si>
  <si>
    <t>Resulting Suction Head</t>
  </si>
  <si>
    <t>Total Discharge Head (Hd)</t>
  </si>
  <si>
    <t>Resulting Discharge Head</t>
  </si>
  <si>
    <t>Differential Head (H)</t>
  </si>
  <si>
    <t>Pump Head Requirement</t>
  </si>
  <si>
    <t>Hydraulic Power (Phyd)</t>
  </si>
  <si>
    <t>kW</t>
  </si>
  <si>
    <t>Theoretical Power</t>
  </si>
  <si>
    <t>OUTPUT</t>
  </si>
  <si>
    <t>Estimated Efficiency (n)</t>
  </si>
  <si>
    <t>decimal</t>
  </si>
  <si>
    <t>From manufacturer curve (0.72 = 72%)</t>
  </si>
  <si>
    <t>Brake Horsepower (BHP)</t>
  </si>
  <si>
    <t>Actual power at shaft</t>
  </si>
  <si>
    <t>API 610 Motor Margin</t>
  </si>
  <si>
    <t>multiplier</t>
  </si>
  <si>
    <t>15% margin for 22-55kW range</t>
  </si>
  <si>
    <t>Required Motor Rating</t>
  </si>
  <si>
    <t>Minimum motor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</si>
</sst>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ump_Calcul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0" displayName="Pump_System_Parameters" name="Pump_System_Parameters" id="1">
  <tableColumns count="5">
    <tableColumn name="Category" id="1"/>
    <tableColumn name="Parameter" id="2"/>
    <tableColumn name="Value" id="3"/>
    <tableColumn name="Unit" id="4"/>
    <tableColumn name="Formula/Note" id="5"/>
  </tableColumns>
  <tableStyleInfo name="Pump_Calcul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7.13"/>
    <col customWidth="1" min="3" max="3" width="13.0"/>
    <col customWidth="1" min="4" max="4" width="9.13"/>
    <col customWidth="1" min="5" max="5" width="3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>
        <v>1000.0</v>
      </c>
      <c r="D2" s="3" t="s">
        <v>7</v>
      </c>
      <c r="E2" s="3" t="s">
        <v>8</v>
      </c>
    </row>
    <row r="3" ht="22.5" customHeight="1">
      <c r="A3" s="2" t="s">
        <v>5</v>
      </c>
      <c r="B3" s="3" t="s">
        <v>9</v>
      </c>
      <c r="C3" s="4">
        <v>40.0</v>
      </c>
      <c r="D3" s="3" t="s">
        <v>10</v>
      </c>
    </row>
    <row r="4" ht="22.5" customHeight="1">
      <c r="A4" s="2" t="s">
        <v>5</v>
      </c>
      <c r="B4" s="3" t="s">
        <v>11</v>
      </c>
      <c r="C4" s="4">
        <v>0.08</v>
      </c>
      <c r="D4" s="3" t="s">
        <v>12</v>
      </c>
      <c r="E4" s="3" t="s">
        <v>13</v>
      </c>
    </row>
    <row r="5" ht="22.5" customHeight="1">
      <c r="A5" s="2" t="s">
        <v>5</v>
      </c>
      <c r="B5" s="3" t="s">
        <v>14</v>
      </c>
      <c r="C5" s="4">
        <v>1.2</v>
      </c>
      <c r="D5" s="3" t="s">
        <v>15</v>
      </c>
      <c r="E5" s="3" t="s">
        <v>16</v>
      </c>
    </row>
    <row r="6" ht="22.5" customHeight="1">
      <c r="A6" s="2" t="s">
        <v>5</v>
      </c>
      <c r="B6" s="3" t="s">
        <v>17</v>
      </c>
      <c r="C6" s="4">
        <v>6.5</v>
      </c>
      <c r="D6" s="3" t="s">
        <v>15</v>
      </c>
      <c r="E6" s="3" t="s">
        <v>16</v>
      </c>
    </row>
    <row r="7" ht="22.5" customHeight="1">
      <c r="A7" s="2" t="s">
        <v>5</v>
      </c>
      <c r="B7" s="3" t="s">
        <v>18</v>
      </c>
      <c r="C7" s="4">
        <v>120.0</v>
      </c>
      <c r="D7" s="3" t="s">
        <v>19</v>
      </c>
      <c r="E7" s="3" t="s">
        <v>20</v>
      </c>
    </row>
    <row r="8" ht="22.5" customHeight="1">
      <c r="A8" s="2" t="s">
        <v>5</v>
      </c>
      <c r="B8" s="3" t="s">
        <v>21</v>
      </c>
      <c r="C8" s="4">
        <v>4.5</v>
      </c>
      <c r="D8" s="3" t="s">
        <v>22</v>
      </c>
      <c r="E8" s="3" t="s">
        <v>23</v>
      </c>
    </row>
    <row r="9" ht="22.5" customHeight="1">
      <c r="A9" s="2" t="s">
        <v>5</v>
      </c>
      <c r="B9" s="3" t="s">
        <v>24</v>
      </c>
      <c r="C9" s="4">
        <v>15.0</v>
      </c>
      <c r="D9" s="3" t="s">
        <v>22</v>
      </c>
      <c r="E9" s="3" t="s">
        <v>23</v>
      </c>
    </row>
    <row r="10" ht="22.5" customHeight="1">
      <c r="A10" s="2" t="s">
        <v>5</v>
      </c>
      <c r="B10" s="3" t="s">
        <v>25</v>
      </c>
      <c r="C10" s="4">
        <v>0.8</v>
      </c>
      <c r="D10" s="3" t="s">
        <v>22</v>
      </c>
      <c r="E10" s="3" t="s">
        <v>26</v>
      </c>
    </row>
    <row r="11" ht="22.5" customHeight="1">
      <c r="A11" s="2" t="s">
        <v>5</v>
      </c>
      <c r="B11" s="3" t="s">
        <v>27</v>
      </c>
      <c r="C11" s="4">
        <v>2.5</v>
      </c>
      <c r="D11" s="3" t="s">
        <v>22</v>
      </c>
      <c r="E11" s="3" t="s">
        <v>28</v>
      </c>
    </row>
    <row r="12" ht="22.5" customHeight="1">
      <c r="A12" s="2" t="s">
        <v>29</v>
      </c>
      <c r="B12" s="3" t="s">
        <v>30</v>
      </c>
      <c r="C12" s="4">
        <v>1.01325</v>
      </c>
      <c r="D12" s="3" t="s">
        <v>31</v>
      </c>
      <c r="E12" s="3" t="s">
        <v>32</v>
      </c>
    </row>
    <row r="13" ht="22.5" customHeight="1">
      <c r="A13" s="2" t="s">
        <v>29</v>
      </c>
      <c r="B13" s="3" t="s">
        <v>33</v>
      </c>
      <c r="C13" s="5">
        <f>(((C5+C12)*10.197)/(C2/1000))+C8-C10</f>
        <v>26.26851025</v>
      </c>
      <c r="D13" s="3" t="s">
        <v>22</v>
      </c>
      <c r="E13" s="3" t="s">
        <v>34</v>
      </c>
    </row>
    <row r="14" ht="22.5" customHeight="1">
      <c r="A14" s="2" t="s">
        <v>29</v>
      </c>
      <c r="B14" s="3" t="s">
        <v>35</v>
      </c>
      <c r="C14" s="5">
        <f>(((C6+C12)*10.197)/(C2/1000))+C9+C11</f>
        <v>94.11261025</v>
      </c>
      <c r="D14" s="3" t="s">
        <v>22</v>
      </c>
      <c r="E14" s="3" t="s">
        <v>36</v>
      </c>
    </row>
    <row r="15" ht="22.5" customHeight="1">
      <c r="A15" s="2" t="s">
        <v>29</v>
      </c>
      <c r="B15" s="3" t="s">
        <v>37</v>
      </c>
      <c r="C15" s="5">
        <f>C14-C13</f>
        <v>67.8441</v>
      </c>
      <c r="D15" s="3" t="s">
        <v>22</v>
      </c>
      <c r="E15" s="3" t="s">
        <v>38</v>
      </c>
    </row>
    <row r="16" ht="22.5" customHeight="1">
      <c r="A16" s="2" t="s">
        <v>29</v>
      </c>
      <c r="B16" s="3" t="s">
        <v>39</v>
      </c>
      <c r="C16" s="5">
        <f>(C7*C2*9.81*C15)/(3600000)</f>
        <v>22.1850207</v>
      </c>
      <c r="D16" s="3" t="s">
        <v>40</v>
      </c>
      <c r="E16" s="3" t="s">
        <v>41</v>
      </c>
    </row>
    <row r="17" ht="22.5" customHeight="1">
      <c r="A17" s="2" t="s">
        <v>42</v>
      </c>
      <c r="B17" s="3" t="s">
        <v>43</v>
      </c>
      <c r="C17" s="4">
        <v>0.72</v>
      </c>
      <c r="D17" s="3" t="s">
        <v>44</v>
      </c>
      <c r="E17" s="3" t="s">
        <v>45</v>
      </c>
    </row>
    <row r="18" ht="22.5" customHeight="1">
      <c r="A18" s="2" t="s">
        <v>42</v>
      </c>
      <c r="B18" s="3" t="s">
        <v>46</v>
      </c>
      <c r="C18" s="5">
        <f>C16/C17</f>
        <v>30.81252875</v>
      </c>
      <c r="D18" s="3" t="s">
        <v>40</v>
      </c>
      <c r="E18" s="3" t="s">
        <v>47</v>
      </c>
    </row>
    <row r="19" ht="22.5" customHeight="1">
      <c r="A19" s="2" t="s">
        <v>42</v>
      </c>
      <c r="B19" s="3" t="s">
        <v>48</v>
      </c>
      <c r="C19" s="4">
        <v>1.15</v>
      </c>
      <c r="D19" s="3" t="s">
        <v>49</v>
      </c>
      <c r="E19" s="3" t="s">
        <v>50</v>
      </c>
    </row>
    <row r="20" ht="22.5" customHeight="1">
      <c r="A20" s="2" t="s">
        <v>42</v>
      </c>
      <c r="B20" s="3" t="s">
        <v>51</v>
      </c>
      <c r="C20" s="5">
        <f>C18*C19</f>
        <v>35.43440806</v>
      </c>
      <c r="D20" s="3" t="s">
        <v>40</v>
      </c>
      <c r="E20" s="3" t="s">
        <v>52</v>
      </c>
    </row>
  </sheetData>
  <dataValidations>
    <dataValidation type="list" allowBlank="1" showDropDown="1" showErrorMessage="1" sqref="A2:A20">
      <formula1>"INPUT,CALC,OUTPUT"</formula1>
    </dataValidation>
    <dataValidation type="custom" allowBlank="1" showDropDown="1" sqref="C2:C2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