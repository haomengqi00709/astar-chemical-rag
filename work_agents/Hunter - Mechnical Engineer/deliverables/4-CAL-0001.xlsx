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CAL-0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ourier New"/>
      <color rgb="00555555"/>
      <sz val="8"/>
    </font>
    <font>
      <name val="Calibri"/>
      <color rgb="00808080"/>
      <sz val="8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2" borderId="0" pivotButton="0" quotePrefix="0" xfId="0"/>
    <xf numFmtId="0" fontId="3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4" customWidth="1" min="3" max="3"/>
    <col width="10" customWidth="1" min="4" max="4"/>
    <col width="42" customWidth="1" min="5" max="5"/>
    <col width="42" customWidth="1" min="6" max="6"/>
  </cols>
  <sheetData>
    <row r="1" ht="22" customHeight="1">
      <c r="A1" s="1" t="inlineStr">
        <is>
          <t>A Star Chemical</t>
        </is>
      </c>
      <c r="B1" s="2" t="n"/>
      <c r="C1" s="2" t="n"/>
      <c r="D1" s="3" t="inlineStr">
        <is>
          <t>4-CAL-0001</t>
        </is>
      </c>
      <c r="E1" s="2" t="n"/>
      <c r="F1" s="2" t="n"/>
    </row>
    <row r="2" ht="18" customHeight="1">
      <c r="A2" s="4" t="inlineStr">
        <is>
          <t>Mechanical Calculations — Pump Sizing &amp; Motor Selection</t>
        </is>
      </c>
      <c r="B2" s="2" t="n"/>
      <c r="C2" s="2" t="n"/>
      <c r="D2" s="2" t="n"/>
      <c r="E2" s="2" t="n"/>
      <c r="F2" s="2" t="n"/>
    </row>
    <row r="3" ht="14" customHeight="1">
      <c r="A3" s="5" t="inlineStr">
        <is>
          <t>Project</t>
        </is>
      </c>
      <c r="B3" s="6" t="inlineStr">
        <is>
          <t>MEG Transfer Pump Skid</t>
        </is>
      </c>
      <c r="C3" s="7" t="n"/>
      <c r="D3" s="7" t="n"/>
      <c r="E3" s="7" t="n"/>
      <c r="F3" s="7" t="n"/>
    </row>
    <row r="4" ht="14" customHeight="1">
      <c r="A4" s="5" t="inlineStr">
        <is>
          <t>Client</t>
        </is>
      </c>
      <c r="B4" s="6" t="inlineStr">
        <is>
          <t>B Star Chemetics</t>
        </is>
      </c>
      <c r="C4" s="7" t="n"/>
      <c r="D4" s="7" t="n"/>
      <c r="E4" s="7" t="n"/>
      <c r="F4" s="7" t="n"/>
    </row>
    <row r="5" ht="14" customHeight="1">
      <c r="A5" s="5" t="inlineStr">
        <is>
          <t>Location</t>
        </is>
      </c>
      <c r="B5" s="6" t="inlineStr">
        <is>
          <t>Sarnia, Canada</t>
        </is>
      </c>
      <c r="C5" s="7" t="n"/>
      <c r="D5" s="7" t="n"/>
      <c r="E5" s="7" t="n"/>
      <c r="F5" s="7" t="n"/>
    </row>
    <row r="6" ht="14" customHeight="1">
      <c r="A6" s="5" t="inlineStr">
        <is>
          <t>Date</t>
        </is>
      </c>
      <c r="B6" s="6" t="inlineStr">
        <is>
          <t>2026-04-28</t>
        </is>
      </c>
      <c r="C6" s="7" t="n"/>
      <c r="D6" s="7" t="n"/>
      <c r="E6" s="7" t="n"/>
      <c r="F6" s="7" t="n"/>
    </row>
    <row r="8" ht="16" customHeight="1">
      <c r="A8" s="8" t="inlineStr">
        <is>
          <t>Parameter</t>
        </is>
      </c>
      <c r="B8" s="8" t="inlineStr">
        <is>
          <t>Symbol</t>
        </is>
      </c>
      <c r="C8" s="8" t="inlineStr">
        <is>
          <t>Value</t>
        </is>
      </c>
      <c r="D8" s="8" t="inlineStr">
        <is>
          <t>Units</t>
        </is>
      </c>
      <c r="E8" s="9" t="inlineStr">
        <is>
          <t>Excel Formula</t>
        </is>
      </c>
      <c r="F8" s="9" t="inlineStr">
        <is>
          <t>Engineering Formula</t>
        </is>
      </c>
    </row>
    <row r="9" ht="15" customHeight="1">
      <c r="A9" s="10" t="inlineStr">
        <is>
          <t>SECTION 1 — FLUID DATA  [INPUTS — from Process Engineer]</t>
        </is>
      </c>
      <c r="B9" s="11" t="n"/>
      <c r="C9" s="11" t="n"/>
      <c r="D9" s="11" t="n"/>
      <c r="E9" s="11" t="n"/>
      <c r="F9" s="11" t="n"/>
    </row>
    <row r="10" ht="15" customHeight="1">
      <c r="A10" s="12" t="inlineStr">
        <is>
          <t>Fluid Density</t>
        </is>
      </c>
      <c r="B10" s="12" t="inlineStr">
        <is>
          <t>ρ</t>
        </is>
      </c>
      <c r="C10" s="13" t="n">
        <v>1095</v>
      </c>
      <c r="D10" s="12" t="inlineStr">
        <is>
          <t>kg/m³</t>
        </is>
      </c>
      <c r="E10" s="14" t="inlineStr"/>
      <c r="F10" s="14" t="inlineStr">
        <is>
          <t>From Process Engineer handoff (1-CAL-XXXX)</t>
        </is>
      </c>
    </row>
    <row r="11" ht="15" customHeight="1">
      <c r="A11" s="12" t="inlineStr">
        <is>
          <t>Specific Gravity</t>
        </is>
      </c>
      <c r="B11" s="12" t="inlineStr">
        <is>
          <t>SG</t>
        </is>
      </c>
      <c r="C11" s="13">
        <f>C10/1000</f>
        <v/>
      </c>
      <c r="D11" s="12" t="inlineStr">
        <is>
          <t>—</t>
        </is>
      </c>
      <c r="E11" s="15">
        <f>C10/1000</f>
        <v/>
      </c>
      <c r="F11" s="14" t="inlineStr">
        <is>
          <t>SG = ρ / 1000</t>
        </is>
      </c>
    </row>
    <row r="12" ht="15" customHeight="1">
      <c r="A12" s="12" t="inlineStr">
        <is>
          <t>Vapour Pressure</t>
        </is>
      </c>
      <c r="B12" s="12" t="inlineStr">
        <is>
          <t>Pv</t>
        </is>
      </c>
      <c r="C12" s="13" t="n">
        <v>0.15</v>
      </c>
      <c r="D12" s="12" t="inlineStr">
        <is>
          <t>kPa</t>
        </is>
      </c>
      <c r="E12" s="14" t="inlineStr"/>
      <c r="F12" s="14" t="inlineStr">
        <is>
          <t>At operating temperature 65 °C</t>
        </is>
      </c>
    </row>
    <row r="13" ht="15" customHeight="1">
      <c r="A13" s="12" t="inlineStr">
        <is>
          <t>Atmospheric Pressure</t>
        </is>
      </c>
      <c r="B13" s="12" t="inlineStr">
        <is>
          <t>PATM</t>
        </is>
      </c>
      <c r="C13" s="13" t="n">
        <v>1.01325</v>
      </c>
      <c r="D13" s="12" t="inlineStr">
        <is>
          <t>bar</t>
        </is>
      </c>
      <c r="E13" s="14" t="inlineStr"/>
      <c r="F13" s="14" t="inlineStr">
        <is>
          <t>Standard atmospheric pressure</t>
        </is>
      </c>
    </row>
    <row r="14" ht="15" customHeight="1">
      <c r="A14" s="12" t="inlineStr">
        <is>
          <t>Fluid Name</t>
        </is>
      </c>
      <c r="B14" s="12" t="inlineStr">
        <is>
          <t>—</t>
        </is>
      </c>
      <c r="C14" s="13" t="inlineStr">
        <is>
          <t>Monoethylene Glycol (MEG), 95% by weight</t>
        </is>
      </c>
      <c r="D14" s="12" t="inlineStr">
        <is>
          <t>—</t>
        </is>
      </c>
      <c r="E14" s="14" t="inlineStr"/>
      <c r="F14" s="14" t="inlineStr">
        <is>
          <t>Code: MEG</t>
        </is>
      </c>
    </row>
    <row r="16" ht="15" customHeight="1">
      <c r="A16" s="10" t="inlineStr">
        <is>
          <t>SECTION 2 — DESIGN CONDITIONS  [INPUTS]</t>
        </is>
      </c>
      <c r="B16" s="11" t="n"/>
      <c r="C16" s="11" t="n"/>
      <c r="D16" s="11" t="n"/>
      <c r="E16" s="11" t="n"/>
      <c r="F16" s="11" t="n"/>
    </row>
    <row r="17" ht="15" customHeight="1">
      <c r="A17" s="12" t="inlineStr">
        <is>
          <t>Rated Flow Rate</t>
        </is>
      </c>
      <c r="B17" s="12" t="inlineStr">
        <is>
          <t>Q</t>
        </is>
      </c>
      <c r="C17" s="13" t="n">
        <v>54</v>
      </c>
      <c r="D17" s="12" t="inlineStr">
        <is>
          <t>m³/h</t>
        </is>
      </c>
      <c r="E17" s="14" t="inlineStr"/>
      <c r="F17" s="14" t="inlineStr">
        <is>
          <t>From Process Engineer handoff</t>
        </is>
      </c>
    </row>
    <row r="18" ht="15" customHeight="1">
      <c r="A18" s="12" t="inlineStr">
        <is>
          <t>Pump Speed</t>
        </is>
      </c>
      <c r="B18" s="12" t="inlineStr">
        <is>
          <t>N</t>
        </is>
      </c>
      <c r="C18" s="13" t="n">
        <v>1450</v>
      </c>
      <c r="D18" s="12" t="inlineStr">
        <is>
          <t>rpm</t>
        </is>
      </c>
      <c r="E18" s="14" t="inlineStr"/>
      <c r="F18" s="14" t="inlineStr">
        <is>
          <t>Standard 4-pole motor at 50 Hz</t>
        </is>
      </c>
    </row>
    <row r="19" ht="15" customHeight="1">
      <c r="A19" s="12" t="inlineStr">
        <is>
          <t>Assumed Pump Efficiency</t>
        </is>
      </c>
      <c r="B19" s="12" t="inlineStr">
        <is>
          <t>η</t>
        </is>
      </c>
      <c r="C19" s="13" t="n">
        <v>0.72</v>
      </c>
      <c r="D19" s="12" t="inlineStr">
        <is>
          <t>—</t>
        </is>
      </c>
      <c r="E19" s="14" t="inlineStr"/>
      <c r="F19" s="14" t="inlineStr">
        <is>
          <t>Typical centrifugal pump — confirmed with vendor</t>
        </is>
      </c>
    </row>
    <row r="20" ht="15" customHeight="1">
      <c r="A20" s="12" t="inlineStr">
        <is>
          <t>Suction Vessel Pressure</t>
        </is>
      </c>
      <c r="B20" s="12" t="inlineStr">
        <is>
          <t>Ps</t>
        </is>
      </c>
      <c r="C20" s="13" t="n">
        <v>1.5</v>
      </c>
      <c r="D20" s="12" t="inlineStr">
        <is>
          <t>barg</t>
        </is>
      </c>
      <c r="E20" s="14" t="inlineStr"/>
      <c r="F20" s="14" t="inlineStr">
        <is>
          <t>From P&amp;ID / SOW</t>
        </is>
      </c>
    </row>
    <row r="21" ht="15" customHeight="1">
      <c r="A21" s="12" t="inlineStr">
        <is>
          <t>Discharge Vessel Pressure</t>
        </is>
      </c>
      <c r="B21" s="12" t="inlineStr">
        <is>
          <t>Pd</t>
        </is>
      </c>
      <c r="C21" s="13" t="n">
        <v>3.2</v>
      </c>
      <c r="D21" s="12" t="inlineStr">
        <is>
          <t>barg</t>
        </is>
      </c>
      <c r="E21" s="14" t="inlineStr"/>
      <c r="F21" s="14" t="inlineStr">
        <is>
          <t>From P&amp;ID / SOW</t>
        </is>
      </c>
    </row>
    <row r="22" ht="15" customHeight="1">
      <c r="A22" s="12" t="inlineStr">
        <is>
          <t>Suction Static Head</t>
        </is>
      </c>
      <c r="B22" s="12" t="inlineStr">
        <is>
          <t>Zs</t>
        </is>
      </c>
      <c r="C22" s="13" t="n">
        <v>3</v>
      </c>
      <c r="D22" s="12" t="inlineStr">
        <is>
          <t>m</t>
        </is>
      </c>
      <c r="E22" s="14" t="inlineStr"/>
      <c r="F22" s="14" t="inlineStr">
        <is>
          <t>Suction liquid level elevation above pump CL</t>
        </is>
      </c>
    </row>
    <row r="23" ht="15" customHeight="1">
      <c r="A23" s="12" t="inlineStr">
        <is>
          <t>Discharge Static Head</t>
        </is>
      </c>
      <c r="B23" s="12" t="inlineStr">
        <is>
          <t>Zd</t>
        </is>
      </c>
      <c r="C23" s="13" t="n">
        <v>8</v>
      </c>
      <c r="D23" s="12" t="inlineStr">
        <is>
          <t>m</t>
        </is>
      </c>
      <c r="E23" s="14" t="inlineStr"/>
      <c r="F23" s="14" t="inlineStr">
        <is>
          <t>Discharge vessel inlet elevation above pump CL</t>
        </is>
      </c>
    </row>
    <row r="24" ht="15" customHeight="1">
      <c r="A24" s="12" t="inlineStr">
        <is>
          <t>Suction Friction Loss</t>
        </is>
      </c>
      <c r="B24" s="12" t="inlineStr">
        <is>
          <t>hf_s</t>
        </is>
      </c>
      <c r="C24" s="13" t="n">
        <v>0.8</v>
      </c>
      <c r="D24" s="12" t="inlineStr">
        <is>
          <t>m</t>
        </is>
      </c>
      <c r="E24" s="14" t="inlineStr"/>
      <c r="F24" s="14" t="inlineStr">
        <is>
          <t>Pipe friction losses — suction line</t>
        </is>
      </c>
    </row>
    <row r="25" ht="15" customHeight="1">
      <c r="A25" s="12" t="inlineStr">
        <is>
          <t>Discharge Friction Loss</t>
        </is>
      </c>
      <c r="B25" s="12" t="inlineStr">
        <is>
          <t>hf_d</t>
        </is>
      </c>
      <c r="C25" s="13" t="n">
        <v>2.5</v>
      </c>
      <c r="D25" s="12" t="inlineStr">
        <is>
          <t>m</t>
        </is>
      </c>
      <c r="E25" s="14" t="inlineStr"/>
      <c r="F25" s="14" t="inlineStr">
        <is>
          <t>Pipe friction losses — discharge line</t>
        </is>
      </c>
    </row>
    <row r="26" ht="15" customHeight="1">
      <c r="A26" s="12" t="inlineStr">
        <is>
          <t>NPSHa (from Process)</t>
        </is>
      </c>
      <c r="B26" s="12" t="inlineStr">
        <is>
          <t>NPSHa</t>
        </is>
      </c>
      <c r="C26" s="13" t="n">
        <v>25.6</v>
      </c>
      <c r="D26" s="12" t="inlineStr">
        <is>
          <t>m</t>
        </is>
      </c>
      <c r="E26" s="14" t="inlineStr"/>
      <c r="F26" s="14" t="inlineStr">
        <is>
          <t>Net Positive Suction Head Available — from 1-CAL-XXXX</t>
        </is>
      </c>
    </row>
    <row r="28" ht="15" customHeight="1">
      <c r="A28" s="10" t="inlineStr">
        <is>
          <t>SECTION 3 — PUMP HYDRAULIC CALCULATIONS  [CALC — live formulas]</t>
        </is>
      </c>
      <c r="B28" s="11" t="n"/>
      <c r="C28" s="11" t="n"/>
      <c r="D28" s="11" t="n"/>
      <c r="E28" s="11" t="n"/>
      <c r="F28" s="11" t="n"/>
    </row>
    <row r="29" ht="15" customHeight="1">
      <c r="A29" s="16" t="inlineStr">
        <is>
          <t>Total Suction Head</t>
        </is>
      </c>
      <c r="B29" s="16" t="inlineStr">
        <is>
          <t>Hs</t>
        </is>
      </c>
      <c r="C29" s="17">
        <f>ROUND((C20+C13)*100000/(C10*9.81)+C22-C24-C12*1000/(C10*9.81),2)</f>
        <v/>
      </c>
      <c r="D29" s="16" t="inlineStr">
        <is>
          <t>m</t>
        </is>
      </c>
      <c r="E29" s="18">
        <f>ROUND((C20+C13)*100000/(C10*9.81)+C22-C24-C12*1000/(C10*9.81),2)</f>
        <v/>
      </c>
      <c r="F29" s="19" t="inlineStr">
        <is>
          <t>Hs = (Ps + Patm)×100,000/(ρ×g) + Zs − hf_s − Pv×1000/(ρ×g)</t>
        </is>
      </c>
    </row>
    <row r="30" ht="15" customHeight="1">
      <c r="A30" s="16" t="inlineStr">
        <is>
          <t>Total Discharge Head</t>
        </is>
      </c>
      <c r="B30" s="16" t="inlineStr">
        <is>
          <t>Hd</t>
        </is>
      </c>
      <c r="C30" s="17">
        <f>ROUND((C21+C13)*100000/(C10*9.81)+C23+C25,2)</f>
        <v/>
      </c>
      <c r="D30" s="16" t="inlineStr">
        <is>
          <t>m</t>
        </is>
      </c>
      <c r="E30" s="18">
        <f>ROUND((C21+C13)*100000/(C10*9.81)+C23+C25,2)</f>
        <v/>
      </c>
      <c r="F30" s="19" t="inlineStr">
        <is>
          <t>Hd = (Pd + Patm)×100,000/(ρ×g) + Zd + hf_d</t>
        </is>
      </c>
    </row>
    <row r="31" ht="15" customHeight="1">
      <c r="A31" s="16" t="inlineStr">
        <is>
          <t>Total Dynamic Head</t>
        </is>
      </c>
      <c r="B31" s="16" t="inlineStr">
        <is>
          <t>TDH</t>
        </is>
      </c>
      <c r="C31" s="17">
        <f>ROUND(C30-C29,2)</f>
        <v/>
      </c>
      <c r="D31" s="16" t="inlineStr">
        <is>
          <t>m</t>
        </is>
      </c>
      <c r="E31" s="18">
        <f>ROUND(C30-C29,2)</f>
        <v/>
      </c>
      <c r="F31" s="19" t="inlineStr">
        <is>
          <t>TDH = Hd − Hs</t>
        </is>
      </c>
    </row>
    <row r="32" ht="15" customHeight="1">
      <c r="A32" s="16" t="inlineStr">
        <is>
          <t>Flow Rate (m³/s)</t>
        </is>
      </c>
      <c r="B32" s="16" t="inlineStr">
        <is>
          <t>Q_m3s</t>
        </is>
      </c>
      <c r="C32" s="17">
        <f>C17/3600</f>
        <v/>
      </c>
      <c r="D32" s="16" t="inlineStr">
        <is>
          <t>m³/s</t>
        </is>
      </c>
      <c r="E32" s="18">
        <f>C17/3600</f>
        <v/>
      </c>
      <c r="F32" s="19" t="inlineStr">
        <is>
          <t>Q_m3s = Q [m³/h] / 3600</t>
        </is>
      </c>
    </row>
    <row r="34" ht="15" customHeight="1">
      <c r="A34" s="10" t="inlineStr">
        <is>
          <t>SECTION 4 — POWER &amp; MOTOR SIZING  [CALC — live formulas]</t>
        </is>
      </c>
      <c r="B34" s="11" t="n"/>
      <c r="C34" s="11" t="n"/>
      <c r="D34" s="11" t="n"/>
      <c r="E34" s="11" t="n"/>
      <c r="F34" s="11" t="n"/>
    </row>
    <row r="35" ht="15" customHeight="1">
      <c r="A35" s="16" t="inlineStr">
        <is>
          <t>Hydraulic Power</t>
        </is>
      </c>
      <c r="B35" s="16" t="inlineStr">
        <is>
          <t>P_hyd</t>
        </is>
      </c>
      <c r="C35" s="17">
        <f>ROUND(C17*C10*9.81*C31/3600000,2)</f>
        <v/>
      </c>
      <c r="D35" s="16" t="inlineStr">
        <is>
          <t>kW</t>
        </is>
      </c>
      <c r="E35" s="18">
        <f>ROUND(C17*C10*9.81*C31/3600000,2)</f>
        <v/>
      </c>
      <c r="F35" s="19" t="inlineStr">
        <is>
          <t>P_hyd = Q × ρ × g × TDH / 3,600,000</t>
        </is>
      </c>
    </row>
    <row r="36" ht="15" customHeight="1">
      <c r="A36" s="16" t="inlineStr">
        <is>
          <t>Shaft Power (BHP)</t>
        </is>
      </c>
      <c r="B36" s="16" t="inlineStr">
        <is>
          <t>BHP</t>
        </is>
      </c>
      <c r="C36" s="17">
        <f>ROUND(C35/C19,2)</f>
        <v/>
      </c>
      <c r="D36" s="16" t="inlineStr">
        <is>
          <t>kW</t>
        </is>
      </c>
      <c r="E36" s="18">
        <f>ROUND(C35/C19,2)</f>
        <v/>
      </c>
      <c r="F36" s="19" t="inlineStr">
        <is>
          <t>BHP = P_hyd / η</t>
        </is>
      </c>
    </row>
    <row r="37" ht="15" customHeight="1">
      <c r="A37" s="16" t="inlineStr">
        <is>
          <t>API 610 Motor Margin</t>
        </is>
      </c>
      <c r="B37" s="16" t="inlineStr">
        <is>
          <t>mm</t>
        </is>
      </c>
      <c r="C37" s="17">
        <f>IF(C36&lt;22,1.25,IF(C36&lt;=55,1.15,1.10))</f>
        <v/>
      </c>
      <c r="D37" s="16" t="inlineStr">
        <is>
          <t>×</t>
        </is>
      </c>
      <c r="E37" s="18">
        <f>IF(C36&lt;22,1.25,IF(C36&lt;=55,1.15,1.10))</f>
        <v/>
      </c>
      <c r="F37" s="19" t="inlineStr">
        <is>
          <t>API 610: ×1.25 if BHP&lt;22 kW, ×1.15 if ≤55 kW, ×1.10 otherwise</t>
        </is>
      </c>
    </row>
    <row r="38" ht="15" customHeight="1">
      <c r="A38" s="16" t="inlineStr">
        <is>
          <t>Required Motor Power</t>
        </is>
      </c>
      <c r="B38" s="16" t="inlineStr">
        <is>
          <t>P_motor</t>
        </is>
      </c>
      <c r="C38" s="17">
        <f>ROUND(C36*C37,2)</f>
        <v/>
      </c>
      <c r="D38" s="16" t="inlineStr">
        <is>
          <t>kW</t>
        </is>
      </c>
      <c r="E38" s="18">
        <f>ROUND(C36*C37,2)</f>
        <v/>
      </c>
      <c r="F38" s="19" t="inlineStr">
        <is>
          <t>P_motor = BHP × motor margin</t>
        </is>
      </c>
    </row>
    <row r="40" ht="15" customHeight="1">
      <c r="A40" s="10" t="inlineStr">
        <is>
          <t>SECTION 5 — SPECIFIC SPEED &amp; IMPELLER TYPE  [CALC — live formulas]</t>
        </is>
      </c>
      <c r="B40" s="11" t="n"/>
      <c r="C40" s="11" t="n"/>
      <c r="D40" s="11" t="n"/>
      <c r="E40" s="11" t="n"/>
      <c r="F40" s="11" t="n"/>
    </row>
    <row r="41" ht="15" customHeight="1">
      <c r="A41" s="16" t="inlineStr">
        <is>
          <t>Specific Speed</t>
        </is>
      </c>
      <c r="B41" s="16" t="inlineStr">
        <is>
          <t>Ns</t>
        </is>
      </c>
      <c r="C41" s="17">
        <f>ROUND(C18*SQRT(C32)/POWER(C31,0.75),1)</f>
        <v/>
      </c>
      <c r="D41" s="16" t="inlineStr">
        <is>
          <t>—</t>
        </is>
      </c>
      <c r="E41" s="18">
        <f>ROUND(C18*SQRT(C32)/POWER(C31,0.75),1)</f>
        <v/>
      </c>
      <c r="F41" s="19" t="inlineStr">
        <is>
          <t>Ns = N × √Q_m3s / TDH^0.75  (SI dimensionless)</t>
        </is>
      </c>
    </row>
    <row r="42" ht="15" customHeight="1">
      <c r="A42" s="16" t="inlineStr">
        <is>
          <t>Impeller Type</t>
        </is>
      </c>
      <c r="B42" s="16" t="inlineStr">
        <is>
          <t>—</t>
        </is>
      </c>
      <c r="C42" s="17">
        <f>IF(C41&lt;25,"Radial flow",IF(C41&lt;100,"Mixed flow","Axial flow"))</f>
        <v/>
      </c>
      <c r="D42" s="16" t="inlineStr">
        <is>
          <t>—</t>
        </is>
      </c>
      <c r="E42" s="18">
        <f>IF(C41&lt;25,"Radial flow",IF(C41&lt;100,"Mixed flow","Axial flow"))</f>
        <v/>
      </c>
      <c r="F42" s="19" t="inlineStr">
        <is>
          <t>Ns &lt; 25 → Radial  |  25–100 → Mixed  |  &gt;100 → Axial</t>
        </is>
      </c>
    </row>
    <row r="44" ht="15" customHeight="1">
      <c r="A44" s="10" t="inlineStr">
        <is>
          <t>SECTION 6 — NPSH CHECK  [CALC]</t>
        </is>
      </c>
      <c r="B44" s="11" t="n"/>
      <c r="C44" s="11" t="n"/>
      <c r="D44" s="11" t="n"/>
      <c r="E44" s="11" t="n"/>
      <c r="F44" s="11" t="n"/>
    </row>
    <row r="45" ht="15" customHeight="1">
      <c r="A45" s="12" t="inlineStr">
        <is>
          <t>NPSHr Estimated</t>
        </is>
      </c>
      <c r="B45" s="12" t="inlineStr">
        <is>
          <t>NPSHr</t>
        </is>
      </c>
      <c r="C45" s="13" t="n">
        <v>4</v>
      </c>
      <c r="D45" s="12" t="inlineStr">
        <is>
          <t>m</t>
        </is>
      </c>
      <c r="E45" s="14" t="inlineStr"/>
      <c r="F45" s="14" t="inlineStr">
        <is>
          <t>Conservative estimate 4 m — vendor to confirm actual NPSHr curve</t>
        </is>
      </c>
    </row>
    <row r="46" ht="15" customHeight="1">
      <c r="A46" s="16" t="inlineStr">
        <is>
          <t>NPSH Margin</t>
        </is>
      </c>
      <c r="B46" s="16" t="inlineStr">
        <is>
          <t>Margin</t>
        </is>
      </c>
      <c r="C46" s="17">
        <f>ROUND(C26-C45,1)</f>
        <v/>
      </c>
      <c r="D46" s="16" t="inlineStr">
        <is>
          <t>m</t>
        </is>
      </c>
      <c r="E46" s="18">
        <f>ROUND(C26-C45,1)</f>
        <v/>
      </c>
      <c r="F46" s="19" t="inlineStr">
        <is>
          <t>NPSH Margin = NPSHa − NPSHr  (API 610 requires ≥ 0.6 m)</t>
        </is>
      </c>
    </row>
    <row r="47" ht="15" customHeight="1">
      <c r="A47" s="16" t="inlineStr">
        <is>
          <t>NPSH Status</t>
        </is>
      </c>
      <c r="B47" s="16" t="inlineStr">
        <is>
          <t>—</t>
        </is>
      </c>
      <c r="C47" s="17">
        <f>IF(C46&gt;=0.6,"PASS","VERIFY WITH VENDOR")</f>
        <v/>
      </c>
      <c r="D47" s="16" t="inlineStr">
        <is>
          <t>—</t>
        </is>
      </c>
      <c r="E47" s="18">
        <f>IF(C46&gt;=0.6,"PASS","VERIFY WITH VENDOR")</f>
        <v/>
      </c>
      <c r="F47" s="19" t="inlineStr">
        <is>
          <t>Margin ≥ 0.6 m → PASS</t>
        </is>
      </c>
    </row>
    <row r="49" ht="15" customHeight="1">
      <c r="A49" s="10" t="inlineStr">
        <is>
          <t>SECTION 7 — RESULTS  [OUTPUTS — for bid package]</t>
        </is>
      </c>
      <c r="B49" s="11" t="n"/>
      <c r="C49" s="11" t="n"/>
      <c r="D49" s="11" t="n"/>
      <c r="E49" s="11" t="n"/>
      <c r="F49" s="11" t="n"/>
    </row>
    <row r="50" ht="15" customHeight="1">
      <c r="A50" s="20" t="inlineStr">
        <is>
          <t>Total Dynamic Head (to Bid)</t>
        </is>
      </c>
      <c r="B50" s="20" t="inlineStr">
        <is>
          <t>TDH</t>
        </is>
      </c>
      <c r="C50" s="21">
        <f>C31</f>
        <v/>
      </c>
      <c r="D50" s="20" t="inlineStr">
        <is>
          <t>m</t>
        </is>
      </c>
      <c r="E50" s="22">
        <f>C31</f>
        <v/>
      </c>
      <c r="F50" s="23" t="inlineStr">
        <is>
          <t>Required pump head for vendor selection</t>
        </is>
      </c>
    </row>
    <row r="51" ht="15" customHeight="1">
      <c r="A51" s="20" t="inlineStr">
        <is>
          <t>Rated Flow (to Bid)</t>
        </is>
      </c>
      <c r="B51" s="20" t="inlineStr">
        <is>
          <t>Q_r</t>
        </is>
      </c>
      <c r="C51" s="21">
        <f>C17</f>
        <v/>
      </c>
      <c r="D51" s="20" t="inlineStr">
        <is>
          <t>m³/h</t>
        </is>
      </c>
      <c r="E51" s="22">
        <f>C17</f>
        <v/>
      </c>
      <c r="F51" s="23" t="inlineStr">
        <is>
          <t>Required pump flow for vendor selection</t>
        </is>
      </c>
    </row>
    <row r="52" ht="15" customHeight="1">
      <c r="A52" s="20" t="inlineStr">
        <is>
          <t>Required Motor Power (to Bid)</t>
        </is>
      </c>
      <c r="B52" s="20" t="inlineStr">
        <is>
          <t>P_motor</t>
        </is>
      </c>
      <c r="C52" s="21">
        <f>C38</f>
        <v/>
      </c>
      <c r="D52" s="20" t="inlineStr">
        <is>
          <t>kW</t>
        </is>
      </c>
      <c r="E52" s="22">
        <f>C38</f>
        <v/>
      </c>
      <c r="F52" s="23" t="inlineStr">
        <is>
          <t>Minimum motor nameplate power — API 610 margin</t>
        </is>
      </c>
    </row>
    <row r="53" ht="15" customHeight="1">
      <c r="A53" s="20" t="inlineStr">
        <is>
          <t>NPSHa (to Bid)</t>
        </is>
      </c>
      <c r="B53" s="20" t="inlineStr">
        <is>
          <t>NPSHa</t>
        </is>
      </c>
      <c r="C53" s="21">
        <f>C26</f>
        <v/>
      </c>
      <c r="D53" s="20" t="inlineStr">
        <is>
          <t>m</t>
        </is>
      </c>
      <c r="E53" s="22">
        <f>C26</f>
        <v/>
      </c>
      <c r="F53" s="23" t="inlineStr">
        <is>
          <t>Vendor NPSHr must be &lt; NPSHa − 0.6 m</t>
        </is>
      </c>
    </row>
    <row r="54" ht="15" customHeight="1">
      <c r="A54" s="20" t="inlineStr">
        <is>
          <t>Specific Speed (ref)</t>
        </is>
      </c>
      <c r="B54" s="20" t="inlineStr">
        <is>
          <t>Ns</t>
        </is>
      </c>
      <c r="C54" s="21">
        <f>C41</f>
        <v/>
      </c>
      <c r="D54" s="20" t="inlineStr">
        <is>
          <t>—</t>
        </is>
      </c>
      <c r="E54" s="22">
        <f>C41</f>
        <v/>
      </c>
      <c r="F54" s="23" t="inlineStr">
        <is>
          <t>Confirms pump type selection</t>
        </is>
      </c>
    </row>
    <row r="57">
      <c r="A57" s="24" t="inlineStr">
        <is>
          <t>Generated by Mechanical Engineer Agent (Hunter)  |  2026-04-28T04:09:45  |  A Star Chemical</t>
        </is>
      </c>
    </row>
  </sheetData>
  <mergeCells count="15">
    <mergeCell ref="B4:F4"/>
    <mergeCell ref="A2:F2"/>
    <mergeCell ref="A16:F16"/>
    <mergeCell ref="A49:F49"/>
    <mergeCell ref="A28:F28"/>
    <mergeCell ref="B6:F6"/>
    <mergeCell ref="A1:C1"/>
    <mergeCell ref="A44:F44"/>
    <mergeCell ref="B3:F3"/>
    <mergeCell ref="B5:F5"/>
    <mergeCell ref="A9:F9"/>
    <mergeCell ref="A34:F34"/>
    <mergeCell ref="A40:F40"/>
    <mergeCell ref="D1:F1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2026-04-28T08:09:45Z</dcterms:created>
  <dcterms:modified xmlns:dcterms="http://purl.org/dc/terms/" xmlns:xsi="http://www.w3.org/2001/XMLSchema-instance" xsi:type="dcterms:W3CDTF">2026-04-28T08:09:46Z</dcterms:modified>
</cp:coreProperties>
</file>