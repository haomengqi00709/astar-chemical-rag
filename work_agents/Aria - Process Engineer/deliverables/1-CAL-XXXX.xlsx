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CAL-XXXX"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2"/>
    </font>
    <font>
      <name val="Calibri"/>
      <b val="1"/>
      <color rgb="00FFFFFF"/>
      <sz val="11"/>
    </font>
    <font>
      <name val="Calibri"/>
      <b val="1"/>
      <color rgb="00000000"/>
      <sz val="10"/>
    </font>
    <font>
      <name val="Calibri"/>
      <b val="1"/>
      <color rgb="00FFFFFF"/>
      <sz val="10"/>
    </font>
    <font>
      <name val="Calibri"/>
      <color rgb="00000000"/>
      <sz val="10"/>
    </font>
    <font>
      <name val="Courier New"/>
      <color rgb="00555555"/>
      <sz val="8"/>
    </font>
    <font>
      <name val="Calibri"/>
      <color rgb="00808080"/>
      <sz val="8"/>
    </font>
  </fonts>
  <fills count="9">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EBF3FB"/>
      </patternFill>
    </fill>
    <fill>
      <patternFill patternType="solid">
        <fgColor rgb="00F7FBFF"/>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pivotButton="0" quotePrefix="0" xfId="0"/>
    <xf numFmtId="0" fontId="0" fillId="2" borderId="0" pivotButton="0" quotePrefix="0" xfId="0"/>
    <xf numFmtId="0" fontId="1" fillId="2" borderId="0" applyAlignment="1" pivotButton="0" quotePrefix="0" xfId="0">
      <alignment horizontal="right" vertical="center"/>
    </xf>
    <xf numFmtId="0" fontId="2" fillId="2" borderId="0" pivotButton="0" quotePrefix="0" xfId="0"/>
    <xf numFmtId="0" fontId="3" fillId="3" borderId="1" pivotButton="0" quotePrefix="0" xfId="0"/>
    <xf numFmtId="0" fontId="0" fillId="3" borderId="1" applyAlignment="1" pivotButton="0" quotePrefix="0" xfId="0">
      <alignment horizontal="left" vertical="center"/>
    </xf>
    <xf numFmtId="0" fontId="0" fillId="3" borderId="1" pivotButton="0" quotePrefix="0" xfId="0"/>
    <xf numFmtId="0" fontId="3" fillId="3" borderId="1" applyAlignment="1" pivotButton="0" quotePrefix="0" xfId="0">
      <alignment horizontal="left" vertical="center"/>
    </xf>
    <xf numFmtId="0" fontId="3" fillId="3" borderId="1" applyAlignment="1" pivotButton="0" quotePrefix="0" xfId="0">
      <alignment horizontal="left" vertical="center" wrapText="1"/>
    </xf>
    <xf numFmtId="0" fontId="4" fillId="4" borderId="1" applyAlignment="1" pivotButton="0" quotePrefix="0" xfId="0">
      <alignment horizontal="center" vertical="center"/>
    </xf>
    <xf numFmtId="0" fontId="0" fillId="4" borderId="1" pivotButton="0" quotePrefix="0" xfId="0"/>
    <xf numFmtId="0" fontId="5" fillId="5" borderId="1" applyAlignment="1" pivotButton="0" quotePrefix="0" xfId="0">
      <alignment horizontal="left" vertical="center"/>
    </xf>
    <xf numFmtId="0" fontId="5" fillId="5" borderId="1" applyAlignment="1" pivotButton="0" quotePrefix="0" xfId="0">
      <alignment horizontal="right" vertical="center"/>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5" fillId="6" borderId="1" applyAlignment="1" pivotButton="0" quotePrefix="0" xfId="0">
      <alignment horizontal="left" vertical="center"/>
    </xf>
    <xf numFmtId="0" fontId="5" fillId="6" borderId="1" applyAlignment="1" pivotButton="0" quotePrefix="0" xfId="0">
      <alignment horizontal="right" vertical="center"/>
    </xf>
    <xf numFmtId="0" fontId="5" fillId="6" borderId="1" applyAlignment="1" pivotButton="0" quotePrefix="0" xfId="0">
      <alignment horizontal="left" vertical="center" wrapText="1"/>
    </xf>
    <xf numFmtId="0" fontId="5" fillId="7" borderId="1" applyAlignment="1" pivotButton="0" quotePrefix="0" xfId="0">
      <alignment horizontal="left" vertical="center"/>
    </xf>
    <xf numFmtId="0" fontId="5" fillId="7" borderId="1" applyAlignment="1" pivotButton="0" quotePrefix="0" xfId="0">
      <alignment horizontal="right" vertical="center"/>
    </xf>
    <xf numFmtId="0" fontId="6" fillId="7" borderId="1" applyAlignment="1" pivotButton="0" quotePrefix="0" xfId="0">
      <alignment horizontal="left"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xf>
    <xf numFmtId="0" fontId="5" fillId="8" borderId="1" applyAlignment="1" pivotButton="0" quotePrefix="0" xfId="0">
      <alignment horizontal="right" vertical="center"/>
    </xf>
    <xf numFmtId="0" fontId="6" fillId="8" borderId="1" applyAlignment="1" pivotButton="0" quotePrefix="0" xfId="0">
      <alignment horizontal="left" vertical="center" wrapText="1"/>
    </xf>
    <xf numFmtId="0" fontId="5" fillId="8" borderId="1" applyAlignment="1" pivotButton="0" quotePrefix="0" xfId="0">
      <alignment horizontal="left" vertical="center" wrapText="1"/>
    </xf>
    <xf numFmtId="0" fontId="7"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pane ySplit="7" topLeftCell="A8" activePane="bottomLeft" state="frozen"/>
      <selection pane="bottomLeft" activeCell="A1" sqref="A1"/>
    </sheetView>
  </sheetViews>
  <sheetFormatPr baseColWidth="8" defaultRowHeight="15"/>
  <cols>
    <col width="32" customWidth="1" min="1" max="1"/>
    <col width="10" customWidth="1" min="2" max="2"/>
    <col width="14" customWidth="1" min="3" max="3"/>
    <col width="10" customWidth="1" min="4" max="4"/>
    <col width="38" customWidth="1" min="5" max="5"/>
    <col width="38" customWidth="1" min="6" max="6"/>
  </cols>
  <sheetData>
    <row r="1" ht="22" customHeight="1">
      <c r="A1" s="1" t="inlineStr">
        <is>
          <t>A Star Chemical</t>
        </is>
      </c>
      <c r="B1" s="2" t="n"/>
      <c r="C1" s="2" t="n"/>
      <c r="D1" s="3" t="inlineStr">
        <is>
          <t>1-CAL-XXXX</t>
        </is>
      </c>
      <c r="E1" s="2" t="n"/>
      <c r="F1" s="2" t="n"/>
    </row>
    <row r="2" ht="18" customHeight="1">
      <c r="A2" s="4" t="inlineStr">
        <is>
          <t>Process Calculations — Hydraulic Design</t>
        </is>
      </c>
      <c r="B2" s="2" t="n"/>
      <c r="C2" s="2" t="n"/>
      <c r="D2" s="2" t="n"/>
      <c r="E2" s="2" t="n"/>
      <c r="F2" s="2" t="n"/>
    </row>
    <row r="3" ht="14" customHeight="1">
      <c r="A3" s="5" t="inlineStr">
        <is>
          <t>Project</t>
        </is>
      </c>
      <c r="B3" s="6" t="inlineStr">
        <is>
          <t>MEG Transfer Pump Skid</t>
        </is>
      </c>
      <c r="C3" s="7" t="n"/>
      <c r="D3" s="7" t="n"/>
      <c r="E3" s="7" t="n"/>
      <c r="F3" s="7" t="n"/>
    </row>
    <row r="4" ht="14" customHeight="1">
      <c r="A4" s="5" t="inlineStr">
        <is>
          <t>Client</t>
        </is>
      </c>
      <c r="B4" s="6" t="inlineStr">
        <is>
          <t>B Star Chemetics</t>
        </is>
      </c>
      <c r="C4" s="7" t="n"/>
      <c r="D4" s="7" t="n"/>
      <c r="E4" s="7" t="n"/>
      <c r="F4" s="7" t="n"/>
    </row>
    <row r="5" ht="14" customHeight="1">
      <c r="A5" s="5" t="inlineStr">
        <is>
          <t>Location</t>
        </is>
      </c>
      <c r="B5" s="6" t="inlineStr">
        <is>
          <t>Sarnia, Canada</t>
        </is>
      </c>
      <c r="C5" s="7" t="n"/>
      <c r="D5" s="7" t="n"/>
      <c r="E5" s="7" t="n"/>
      <c r="F5" s="7" t="n"/>
    </row>
    <row r="6" ht="14" customHeight="1">
      <c r="A6" s="5" t="inlineStr">
        <is>
          <t>Date</t>
        </is>
      </c>
      <c r="B6" s="6" t="inlineStr">
        <is>
          <t>2026-04-28</t>
        </is>
      </c>
      <c r="C6" s="7" t="n"/>
      <c r="D6" s="7" t="n"/>
      <c r="E6" s="7" t="n"/>
      <c r="F6" s="7" t="n"/>
    </row>
    <row r="8" ht="16" customHeight="1">
      <c r="A8" s="8" t="inlineStr">
        <is>
          <t>Parameter</t>
        </is>
      </c>
      <c r="B8" s="8" t="inlineStr">
        <is>
          <t>Symbol</t>
        </is>
      </c>
      <c r="C8" s="8" t="inlineStr">
        <is>
          <t>Value</t>
        </is>
      </c>
      <c r="D8" s="8" t="inlineStr">
        <is>
          <t>Units</t>
        </is>
      </c>
      <c r="E8" s="9" t="inlineStr">
        <is>
          <t>Excel Formula</t>
        </is>
      </c>
      <c r="F8" s="9" t="inlineStr">
        <is>
          <t>Engineering Formula</t>
        </is>
      </c>
    </row>
    <row r="9" ht="15" customHeight="1">
      <c r="A9" s="10" t="inlineStr">
        <is>
          <t>SECTION 1 — FLUID DATA  [INPUTS]</t>
        </is>
      </c>
      <c r="B9" s="11" t="n"/>
      <c r="C9" s="11" t="n"/>
      <c r="D9" s="11" t="n"/>
      <c r="E9" s="11" t="n"/>
      <c r="F9" s="11" t="n"/>
    </row>
    <row r="10" ht="15" customHeight="1">
      <c r="A10" s="12" t="inlineStr">
        <is>
          <t>Fluid Name</t>
        </is>
      </c>
      <c r="B10" s="12" t="inlineStr">
        <is>
          <t>—</t>
        </is>
      </c>
      <c r="C10" s="13" t="inlineStr">
        <is>
          <t>Monoethylene Glycol (MEG), 95% by weight</t>
        </is>
      </c>
      <c r="D10" s="12" t="inlineStr">
        <is>
          <t>—</t>
        </is>
      </c>
      <c r="E10" s="14" t="inlineStr"/>
      <c r="F10" s="14" t="inlineStr">
        <is>
          <t>Code: MEG  |  Source: estimated</t>
        </is>
      </c>
    </row>
    <row r="11" ht="15" customHeight="1">
      <c r="A11" s="12" t="inlineStr">
        <is>
          <t>Fluid Density</t>
        </is>
      </c>
      <c r="B11" s="12" t="inlineStr">
        <is>
          <t>ρ</t>
        </is>
      </c>
      <c r="C11" s="13" t="n">
        <v>1095</v>
      </c>
      <c r="D11" s="12" t="inlineStr">
        <is>
          <t>kg/m³</t>
        </is>
      </c>
      <c r="E11" s="14" t="inlineStr"/>
      <c r="F11" s="14" t="inlineStr">
        <is>
          <t>From process data / SOW</t>
        </is>
      </c>
    </row>
    <row r="12" ht="15" customHeight="1">
      <c r="A12" s="12" t="inlineStr">
        <is>
          <t>Specific Gravity</t>
        </is>
      </c>
      <c r="B12" s="12" t="inlineStr">
        <is>
          <t>SG</t>
        </is>
      </c>
      <c r="C12" s="13">
        <f>C11/1000</f>
        <v/>
      </c>
      <c r="D12" s="12" t="inlineStr">
        <is>
          <t>—</t>
        </is>
      </c>
      <c r="E12" s="15">
        <f>C11/1000</f>
        <v/>
      </c>
      <c r="F12" s="14" t="inlineStr">
        <is>
          <t>SG = ρ / 1000</t>
        </is>
      </c>
    </row>
    <row r="13" ht="15" customHeight="1">
      <c r="A13" s="12" t="inlineStr">
        <is>
          <t>Dynamic Viscosity</t>
        </is>
      </c>
      <c r="B13" s="12" t="inlineStr">
        <is>
          <t>μ</t>
        </is>
      </c>
      <c r="C13" s="13" t="n">
        <v>4</v>
      </c>
      <c r="D13" s="12" t="inlineStr">
        <is>
          <t>mPa·s</t>
        </is>
      </c>
      <c r="E13" s="14" t="inlineStr"/>
      <c r="F13" s="14" t="inlineStr">
        <is>
          <t>Fluid property lookup / engineering estimate</t>
        </is>
      </c>
    </row>
    <row r="14" ht="15" customHeight="1">
      <c r="A14" s="12" t="inlineStr">
        <is>
          <t>Vapour Pressure</t>
        </is>
      </c>
      <c r="B14" s="12" t="inlineStr">
        <is>
          <t>Pv</t>
        </is>
      </c>
      <c r="C14" s="13" t="n">
        <v>0.15</v>
      </c>
      <c r="D14" s="12" t="inlineStr">
        <is>
          <t>kPa</t>
        </is>
      </c>
      <c r="E14" s="14" t="inlineStr"/>
      <c r="F14" s="14" t="inlineStr">
        <is>
          <t>At operating temperature 65 °C</t>
        </is>
      </c>
    </row>
    <row r="15" ht="15" customHeight="1">
      <c r="A15" s="12" t="inlineStr">
        <is>
          <t>Corrosive Service</t>
        </is>
      </c>
      <c r="B15" s="12" t="inlineStr">
        <is>
          <t>—</t>
        </is>
      </c>
      <c r="C15" s="13" t="inlineStr">
        <is>
          <t>Yes</t>
        </is>
      </c>
      <c r="D15" s="12" t="inlineStr">
        <is>
          <t>—</t>
        </is>
      </c>
      <c r="E15" s="14" t="inlineStr"/>
      <c r="F15" s="14" t="inlineStr">
        <is>
          <t>Drives material selection and seal requirements</t>
        </is>
      </c>
    </row>
    <row r="16" ht="15" customHeight="1">
      <c r="A16" s="16" t="inlineStr">
        <is>
          <t>Fluid Notes</t>
        </is>
      </c>
      <c r="B16" s="16" t="inlineStr">
        <is>
          <t>—</t>
        </is>
      </c>
      <c r="C16" s="17" t="inlineStr">
        <is>
          <t>MEG is hygroscopic and can degrade to corrosive organic acids (e.g., glycolic acid) at elevated temperatures or in the presence of oxygen. Proper inhibition and material selection are crucial to prevent corrosion. Viscosity and vapor pressure are engineering estimates for 95% MEG at 65 °C.</t>
        </is>
      </c>
      <c r="D16" s="16" t="inlineStr">
        <is>
          <t>—</t>
        </is>
      </c>
      <c r="E16" s="18" t="inlineStr"/>
      <c r="F16" s="18" t="inlineStr">
        <is>
          <t>1-LST-0002</t>
        </is>
      </c>
    </row>
    <row r="18" ht="15" customHeight="1">
      <c r="A18" s="10" t="inlineStr">
        <is>
          <t>SECTION 2 — DESIGN CONDITIONS  [INPUTS]</t>
        </is>
      </c>
      <c r="B18" s="11" t="n"/>
      <c r="C18" s="11" t="n"/>
      <c r="D18" s="11" t="n"/>
      <c r="E18" s="11" t="n"/>
      <c r="F18" s="11" t="n"/>
    </row>
    <row r="19" ht="15" customHeight="1">
      <c r="A19" s="12" t="inlineStr">
        <is>
          <t>Normal Flow Rate</t>
        </is>
      </c>
      <c r="B19" s="12" t="inlineStr">
        <is>
          <t>Q_n</t>
        </is>
      </c>
      <c r="C19" s="13" t="n">
        <v>45</v>
      </c>
      <c r="D19" s="12" t="inlineStr">
        <is>
          <t>m³/h</t>
        </is>
      </c>
      <c r="E19" s="14" t="inlineStr"/>
      <c r="F19" s="14" t="inlineStr">
        <is>
          <t>From SOW / process data sheet</t>
        </is>
      </c>
    </row>
    <row r="20" ht="15" customHeight="1">
      <c r="A20" s="12" t="inlineStr">
        <is>
          <t>Flow Margin</t>
        </is>
      </c>
      <c r="B20" s="12" t="inlineStr">
        <is>
          <t>—</t>
        </is>
      </c>
      <c r="C20" s="13" t="n">
        <v>20</v>
      </c>
      <c r="D20" s="12" t="inlineStr">
        <is>
          <t>%</t>
        </is>
      </c>
      <c r="E20" s="14" t="inlineStr"/>
      <c r="F20" s="14" t="inlineStr">
        <is>
          <t>Source: 4-PDS-XXXX-R1 (Template Brine Ion Exchange Pkg).xls</t>
        </is>
      </c>
    </row>
    <row r="21" ht="15" customHeight="1">
      <c r="A21" s="12" t="inlineStr">
        <is>
          <t>Rated Flow Rate</t>
        </is>
      </c>
      <c r="B21" s="12" t="inlineStr">
        <is>
          <t>Q_r</t>
        </is>
      </c>
      <c r="C21" s="13">
        <f>C19*(1+C20/100)</f>
        <v/>
      </c>
      <c r="D21" s="12" t="inlineStr">
        <is>
          <t>m³/h</t>
        </is>
      </c>
      <c r="E21" s="15">
        <f>C19*(1+C20/100)</f>
        <v/>
      </c>
      <c r="F21" s="14" t="inlineStr">
        <is>
          <t>Q_r = Q_n × (1 + margin%)  →  45 × 1.20</t>
        </is>
      </c>
    </row>
    <row r="22" ht="15" customHeight="1">
      <c r="A22" s="12" t="inlineStr">
        <is>
          <t>Design Pressure</t>
        </is>
      </c>
      <c r="B22" s="12" t="inlineStr">
        <is>
          <t>P_d</t>
        </is>
      </c>
      <c r="C22" s="13" t="n">
        <v>10</v>
      </c>
      <c r="D22" s="12" t="inlineStr">
        <is>
          <t>bar(g)</t>
        </is>
      </c>
      <c r="E22" s="14" t="inlineStr"/>
      <c r="F22" s="14" t="inlineStr">
        <is>
          <t>From SOW</t>
        </is>
      </c>
    </row>
    <row r="23" ht="15" customHeight="1">
      <c r="A23" s="12" t="inlineStr">
        <is>
          <t>Pressure Class</t>
        </is>
      </c>
      <c r="B23" s="12" t="inlineStr">
        <is>
          <t>—</t>
        </is>
      </c>
      <c r="C23" s="13" t="inlineStr">
        <is>
          <t>PN10</t>
        </is>
      </c>
      <c r="D23" s="12" t="inlineStr">
        <is>
          <t>—</t>
        </is>
      </c>
      <c r="E23" s="14" t="inlineStr"/>
      <c r="F23" s="14" t="inlineStr">
        <is>
          <t>Derived from design pressure</t>
        </is>
      </c>
    </row>
    <row r="24" ht="15" customHeight="1">
      <c r="A24" s="12" t="inlineStr">
        <is>
          <t>Design Temperature</t>
        </is>
      </c>
      <c r="B24" s="12" t="inlineStr">
        <is>
          <t>T</t>
        </is>
      </c>
      <c r="C24" s="13" t="n">
        <v>65</v>
      </c>
      <c r="D24" s="12" t="inlineStr">
        <is>
          <t>°C</t>
        </is>
      </c>
      <c r="E24" s="14" t="inlineStr"/>
      <c r="F24" s="14" t="inlineStr">
        <is>
          <t>From SOW</t>
        </is>
      </c>
    </row>
    <row r="25" ht="15" customHeight="1">
      <c r="A25" s="12" t="inlineStr">
        <is>
          <t>Suction Vessel Pressure</t>
        </is>
      </c>
      <c r="B25" s="12" t="inlineStr">
        <is>
          <t>Ps</t>
        </is>
      </c>
      <c r="C25" s="13" t="n">
        <v>1.5</v>
      </c>
      <c r="D25" s="12" t="inlineStr">
        <is>
          <t>barg</t>
        </is>
      </c>
      <c r="E25" s="14" t="inlineStr"/>
      <c r="F25" s="14" t="inlineStr">
        <is>
          <t>From SOW / P&amp;ID</t>
        </is>
      </c>
    </row>
    <row r="26" ht="15" customHeight="1">
      <c r="A26" s="12" t="inlineStr">
        <is>
          <t>Discharge Vessel Pressure</t>
        </is>
      </c>
      <c r="B26" s="12" t="inlineStr">
        <is>
          <t>Pd</t>
        </is>
      </c>
      <c r="C26" s="13" t="n">
        <v>3.2</v>
      </c>
      <c r="D26" s="12" t="inlineStr">
        <is>
          <t>barg</t>
        </is>
      </c>
      <c r="E26" s="14" t="inlineStr"/>
      <c r="F26" s="14" t="inlineStr">
        <is>
          <t>From SOW / P&amp;ID</t>
        </is>
      </c>
    </row>
    <row r="27" ht="15" customHeight="1">
      <c r="A27" s="12" t="inlineStr">
        <is>
          <t>Suction Static Head</t>
        </is>
      </c>
      <c r="B27" s="12" t="inlineStr">
        <is>
          <t>Zs</t>
        </is>
      </c>
      <c r="C27" s="13" t="n">
        <v>3</v>
      </c>
      <c r="D27" s="12" t="inlineStr">
        <is>
          <t>m</t>
        </is>
      </c>
      <c r="E27" s="14" t="inlineStr"/>
      <c r="F27" s="14" t="inlineStr">
        <is>
          <t>Elevation of suction liquid level above pump CL</t>
        </is>
      </c>
    </row>
    <row r="28" ht="15" customHeight="1">
      <c r="A28" s="12" t="inlineStr">
        <is>
          <t>Discharge Static Head</t>
        </is>
      </c>
      <c r="B28" s="12" t="inlineStr">
        <is>
          <t>Zd</t>
        </is>
      </c>
      <c r="C28" s="13" t="n">
        <v>8</v>
      </c>
      <c r="D28" s="12" t="inlineStr">
        <is>
          <t>m</t>
        </is>
      </c>
      <c r="E28" s="14" t="inlineStr"/>
      <c r="F28" s="14" t="inlineStr">
        <is>
          <t>Elevation of discharge vessel inlet above pump CL</t>
        </is>
      </c>
    </row>
    <row r="29" ht="15" customHeight="1">
      <c r="A29" s="12" t="inlineStr">
        <is>
          <t>Suction Friction Loss</t>
        </is>
      </c>
      <c r="B29" s="12" t="inlineStr">
        <is>
          <t>hf_s</t>
        </is>
      </c>
      <c r="C29" s="13" t="n">
        <v>0.8</v>
      </c>
      <c r="D29" s="12" t="inlineStr">
        <is>
          <t>m</t>
        </is>
      </c>
      <c r="E29" s="14" t="inlineStr"/>
      <c r="F29" s="14" t="inlineStr">
        <is>
          <t>Pipe friction losses — suction line</t>
        </is>
      </c>
    </row>
    <row r="30" ht="15" customHeight="1">
      <c r="A30" s="12" t="inlineStr">
        <is>
          <t>Discharge Friction Loss</t>
        </is>
      </c>
      <c r="B30" s="12" t="inlineStr">
        <is>
          <t>hf_d</t>
        </is>
      </c>
      <c r="C30" s="13" t="n">
        <v>2.5</v>
      </c>
      <c r="D30" s="12" t="inlineStr">
        <is>
          <t>m</t>
        </is>
      </c>
      <c r="E30" s="14" t="inlineStr"/>
      <c r="F30" s="14" t="inlineStr">
        <is>
          <t>Pipe friction losses — discharge line</t>
        </is>
      </c>
    </row>
    <row r="31" ht="15" customHeight="1">
      <c r="A31" s="12" t="inlineStr">
        <is>
          <t>Corrosion Allowance</t>
        </is>
      </c>
      <c r="B31" s="12" t="inlineStr">
        <is>
          <t>CA</t>
        </is>
      </c>
      <c r="C31" s="13" t="n">
        <v>0</v>
      </c>
      <c r="D31" s="12" t="inlineStr">
        <is>
          <t>mm</t>
        </is>
      </c>
      <c r="E31" s="14" t="inlineStr"/>
      <c r="F31" s="14" t="inlineStr">
        <is>
          <t>Source: 5-LST-0003-2</t>
        </is>
      </c>
    </row>
    <row r="33" ht="15" customHeight="1">
      <c r="A33" s="10" t="inlineStr">
        <is>
          <t>SECTION 3 — HYDRAULIC CALCULATIONS  [CALC — live formulas]</t>
        </is>
      </c>
      <c r="B33" s="11" t="n"/>
      <c r="C33" s="11" t="n"/>
      <c r="D33" s="11" t="n"/>
      <c r="E33" s="11" t="n"/>
      <c r="F33" s="11" t="n"/>
    </row>
    <row r="34" ht="15" customHeight="1">
      <c r="A34" s="19" t="inlineStr">
        <is>
          <t>Pressure Differential Head</t>
        </is>
      </c>
      <c r="B34" s="19" t="inlineStr">
        <is>
          <t>Hp</t>
        </is>
      </c>
      <c r="C34" s="20">
        <f>ROUND((C26-C25)*100000/(C11*9.81),2)</f>
        <v/>
      </c>
      <c r="D34" s="19" t="inlineStr">
        <is>
          <t>m</t>
        </is>
      </c>
      <c r="E34" s="21">
        <f>ROUND((C26-C25)*100000/(C11*9.81),2)</f>
        <v/>
      </c>
      <c r="F34" s="22" t="inlineStr">
        <is>
          <t>Hp = (P_d − P_s) × 100,000 / (ρ × 9.81)</t>
        </is>
      </c>
    </row>
    <row r="35" ht="15" customHeight="1">
      <c r="A35" s="19" t="inlineStr">
        <is>
          <t>Static Head</t>
        </is>
      </c>
      <c r="B35" s="19" t="inlineStr">
        <is>
          <t>Hs</t>
        </is>
      </c>
      <c r="C35" s="20">
        <f>ROUND(C28-C27,2)</f>
        <v/>
      </c>
      <c r="D35" s="19" t="inlineStr">
        <is>
          <t>m</t>
        </is>
      </c>
      <c r="E35" s="21">
        <f>ROUND(C28-C27,2)</f>
        <v/>
      </c>
      <c r="F35" s="22" t="inlineStr">
        <is>
          <t>Hs = Z_d − Z_s</t>
        </is>
      </c>
    </row>
    <row r="36" ht="15" customHeight="1">
      <c r="A36" s="19" t="inlineStr">
        <is>
          <t>Total Friction Loss</t>
        </is>
      </c>
      <c r="B36" s="19" t="inlineStr">
        <is>
          <t>Hf</t>
        </is>
      </c>
      <c r="C36" s="20">
        <f>ROUND(C29+C30,2)</f>
        <v/>
      </c>
      <c r="D36" s="19" t="inlineStr">
        <is>
          <t>m</t>
        </is>
      </c>
      <c r="E36" s="21">
        <f>ROUND(C29+C30,2)</f>
        <v/>
      </c>
      <c r="F36" s="22" t="inlineStr">
        <is>
          <t>Hf = hf_s + hf_d</t>
        </is>
      </c>
    </row>
    <row r="37" ht="15" customHeight="1">
      <c r="A37" s="19" t="inlineStr">
        <is>
          <t>Total Dynamic Head</t>
        </is>
      </c>
      <c r="B37" s="19" t="inlineStr">
        <is>
          <t>TDH</t>
        </is>
      </c>
      <c r="C37" s="20">
        <f>ROUND(C34+C35+C36,2)</f>
        <v/>
      </c>
      <c r="D37" s="19" t="inlineStr">
        <is>
          <t>m</t>
        </is>
      </c>
      <c r="E37" s="21">
        <f>ROUND(C34+C35+C36,2)</f>
        <v/>
      </c>
      <c r="F37" s="22" t="inlineStr">
        <is>
          <t>TDH = Hp + Hs + Hf</t>
        </is>
      </c>
    </row>
    <row r="38" ht="15" customHeight="1">
      <c r="A38" s="19" t="inlineStr">
        <is>
          <t>Vapour Pressure Head</t>
        </is>
      </c>
      <c r="B38" s="19" t="inlineStr">
        <is>
          <t>Hvp</t>
        </is>
      </c>
      <c r="C38" s="20">
        <f>ROUND(C14*1000/(C11*9.81),3)</f>
        <v/>
      </c>
      <c r="D38" s="19" t="inlineStr">
        <is>
          <t>m</t>
        </is>
      </c>
      <c r="E38" s="21">
        <f>ROUND(C14*1000/(C11*9.81),3)</f>
        <v/>
      </c>
      <c r="F38" s="22" t="inlineStr">
        <is>
          <t>Hvp = Pv × 1000 / (ρ × g)</t>
        </is>
      </c>
    </row>
    <row r="39" ht="15" customHeight="1">
      <c r="A39" s="19" t="inlineStr">
        <is>
          <t>Net Positive Suction Head Available</t>
        </is>
      </c>
      <c r="B39" s="19" t="inlineStr">
        <is>
          <t>NPSHa</t>
        </is>
      </c>
      <c r="C39" s="20">
        <f>ROUND((C25+1.01325)*100000/(C11*9.81)+C27-C29-C14*1000/(C11*9.81),2)</f>
        <v/>
      </c>
      <c r="D39" s="19" t="inlineStr">
        <is>
          <t>m</t>
        </is>
      </c>
      <c r="E39" s="21">
        <f>ROUND((C25+1.01325)*100000/(C11*9.81)+C27-C29-C14*1000/(C11*9.81),2)</f>
        <v/>
      </c>
      <c r="F39" s="22" t="inlineStr">
        <is>
          <t>NPSHa = (P_s_abs / ρg) + Z_s − hf_s − (P_v / ρg)</t>
        </is>
      </c>
    </row>
    <row r="41" ht="15" customHeight="1">
      <c r="A41" s="10" t="inlineStr">
        <is>
          <t>SECTION 4 — RESULTS  [OUTPUTS — hand off to Mechanical]</t>
        </is>
      </c>
      <c r="B41" s="11" t="n"/>
      <c r="C41" s="11" t="n"/>
      <c r="D41" s="11" t="n"/>
      <c r="E41" s="11" t="n"/>
      <c r="F41" s="11" t="n"/>
    </row>
    <row r="42" ht="15" customHeight="1">
      <c r="A42" s="23" t="inlineStr">
        <is>
          <t>Rated Flow (to Mechanical)</t>
        </is>
      </c>
      <c r="B42" s="23" t="inlineStr">
        <is>
          <t>Q_r</t>
        </is>
      </c>
      <c r="C42" s="24">
        <f>C21</f>
        <v/>
      </c>
      <c r="D42" s="23" t="inlineStr">
        <is>
          <t>m³/h</t>
        </is>
      </c>
      <c r="E42" s="25">
        <f>C21</f>
        <v/>
      </c>
      <c r="F42" s="26" t="inlineStr">
        <is>
          <t>Input to pump sizing — 4-CAL-0001</t>
        </is>
      </c>
    </row>
    <row r="43" ht="15" customHeight="1">
      <c r="A43" s="23" t="inlineStr">
        <is>
          <t>Total Dynamic Head (to Mechanical)</t>
        </is>
      </c>
      <c r="B43" s="23" t="inlineStr">
        <is>
          <t>TDH</t>
        </is>
      </c>
      <c r="C43" s="24">
        <f>C37</f>
        <v/>
      </c>
      <c r="D43" s="23" t="inlineStr">
        <is>
          <t>m</t>
        </is>
      </c>
      <c r="E43" s="25">
        <f>C37</f>
        <v/>
      </c>
      <c r="F43" s="26" t="inlineStr">
        <is>
          <t>Required pump head — 4-CAL-0001</t>
        </is>
      </c>
    </row>
    <row r="44" ht="15" customHeight="1">
      <c r="A44" s="23" t="inlineStr">
        <is>
          <t>NPSHa (to Mechanical)</t>
        </is>
      </c>
      <c r="B44" s="23" t="inlineStr">
        <is>
          <t>NPSHa</t>
        </is>
      </c>
      <c r="C44" s="24">
        <f>C39</f>
        <v/>
      </c>
      <c r="D44" s="23" t="inlineStr">
        <is>
          <t>m</t>
        </is>
      </c>
      <c r="E44" s="25">
        <f>C39</f>
        <v/>
      </c>
      <c r="F44" s="26" t="inlineStr">
        <is>
          <t>Must exceed NPSHr + 0.6 m margin (API 610)</t>
        </is>
      </c>
    </row>
    <row r="45" ht="15" customHeight="1">
      <c r="A45" s="23" t="inlineStr">
        <is>
          <t>Fluid Density (to Mechanical)</t>
        </is>
      </c>
      <c r="B45" s="23" t="inlineStr">
        <is>
          <t>ρ</t>
        </is>
      </c>
      <c r="C45" s="24">
        <f>C11</f>
        <v/>
      </c>
      <c r="D45" s="23" t="inlineStr">
        <is>
          <t>kg/m³</t>
        </is>
      </c>
      <c r="E45" s="25">
        <f>C11</f>
        <v/>
      </c>
      <c r="F45" s="26" t="inlineStr">
        <is>
          <t>Required for shaft power and motor sizing</t>
        </is>
      </c>
    </row>
    <row r="46" ht="15" customHeight="1">
      <c r="A46" s="23" t="inlineStr">
        <is>
          <t>Design Pressure (to Mechanical)</t>
        </is>
      </c>
      <c r="B46" s="23" t="inlineStr">
        <is>
          <t>P_d</t>
        </is>
      </c>
      <c r="C46" s="24">
        <f>C22</f>
        <v/>
      </c>
      <c r="D46" s="23" t="inlineStr">
        <is>
          <t>bar(g)</t>
        </is>
      </c>
      <c r="E46" s="25">
        <f>C22</f>
        <v/>
      </c>
      <c r="F46" s="26" t="inlineStr">
        <is>
          <t>Determines flange class and pressure test pressure</t>
        </is>
      </c>
    </row>
    <row r="47" ht="15" customHeight="1">
      <c r="A47" s="23" t="inlineStr">
        <is>
          <t>Corrosion Allowance (to Mechanical)</t>
        </is>
      </c>
      <c r="B47" s="23" t="inlineStr">
        <is>
          <t>CA</t>
        </is>
      </c>
      <c r="C47" s="24">
        <f>C31</f>
        <v/>
      </c>
      <c r="D47" s="23" t="inlineStr">
        <is>
          <t>mm</t>
        </is>
      </c>
      <c r="E47" s="25">
        <f>C31</f>
        <v/>
      </c>
      <c r="F47" s="26" t="inlineStr">
        <is>
          <t>Determines minimum wall thickness</t>
        </is>
      </c>
    </row>
    <row r="50">
      <c r="A50" s="27" t="inlineStr">
        <is>
          <t>Generated by Process Engineer Agent (Aria)  |  2026-04-28T04:08:00  |  A Star Chemical</t>
        </is>
      </c>
    </row>
  </sheetData>
  <mergeCells count="12">
    <mergeCell ref="B4:F4"/>
    <mergeCell ref="A2:F2"/>
    <mergeCell ref="A33:F33"/>
    <mergeCell ref="A41:F41"/>
    <mergeCell ref="A50:E50"/>
    <mergeCell ref="B6:F6"/>
    <mergeCell ref="A1:C1"/>
    <mergeCell ref="B3:F3"/>
    <mergeCell ref="B5:F5"/>
    <mergeCell ref="A9:F9"/>
    <mergeCell ref="A18:F18"/>
    <mergeCell ref="D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2026-04-28T08:08:00Z</dcterms:created>
  <dcterms:modified xmlns:dcterms="http://purl.org/dc/terms/" xmlns:xsi="http://www.w3.org/2001/XMLSchema-instance" xsi:type="dcterms:W3CDTF">2026-04-28T08:08:00Z</dcterms:modified>
</cp:coreProperties>
</file>